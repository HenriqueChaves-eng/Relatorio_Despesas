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Relatório de Despesa" sheetId="1" state="visible" r:id="rId1"/>
  </sheets>
  <definedNames>
    <definedName name="_xlnm.Print_Area" localSheetId="0">'Relatório de Despesa'!$A$1:$Y$70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R$ &quot;#,##0.00"/>
    <numFmt numFmtId="165" formatCode="_-&quot;R$&quot;\ * #,##0.00_-;\-&quot;R$&quot;\ * #,##0.00_-;_-&quot;R$&quot;\ * &quot;-&quot;??_-;_-@_-"/>
    <numFmt numFmtId="166" formatCode="&quot;R$&quot;#,##0.00"/>
  </numFmts>
  <fonts count="12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sz val="8"/>
    </font>
    <font>
      <name val="Arial"/>
      <family val="2"/>
      <b val="1"/>
      <sz val="10"/>
    </font>
    <font>
      <name val="Arial"/>
      <family val="2"/>
      <sz val="6"/>
    </font>
    <font>
      <name val="Arial"/>
      <family val="2"/>
      <sz val="7"/>
    </font>
    <font>
      <name val="Arial"/>
      <family val="2"/>
      <sz val="9"/>
    </font>
    <font>
      <name val="Arial"/>
      <family val="2"/>
      <b val="1"/>
      <sz val="9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</fills>
  <borders count="167">
    <border>
      <left/>
      <right/>
      <top/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8"/>
      </top>
      <bottom style="hair">
        <color indexed="8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 style="hair">
        <color indexed="8"/>
      </right>
      <top/>
      <bottom/>
      <diagonal/>
    </border>
    <border>
      <left/>
      <right/>
      <top style="hair">
        <color indexed="8"/>
      </top>
      <bottom/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dashed">
        <color indexed="64"/>
      </right>
      <top/>
      <bottom style="dotted">
        <color indexed="64"/>
      </bottom>
      <diagonal/>
    </border>
    <border>
      <left style="dashed">
        <color indexed="64"/>
      </left>
      <right style="dashed">
        <color indexed="64"/>
      </right>
      <top/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otted">
        <color indexed="64"/>
      </top>
      <bottom style="dashed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8"/>
      </bottom>
      <diagonal/>
    </border>
    <border>
      <left style="hair">
        <color indexed="64"/>
      </left>
      <right style="medium">
        <color indexed="64"/>
      </right>
      <top/>
      <bottom style="hair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hair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hair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hair">
        <color indexed="8"/>
      </left>
      <right style="thin">
        <color indexed="8"/>
      </right>
      <top style="thin">
        <color indexed="64"/>
      </top>
      <bottom/>
      <diagonal/>
    </border>
    <border>
      <left style="hair">
        <color indexed="8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medium">
        <color indexed="64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hair">
        <color indexed="8"/>
      </left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8"/>
      </top>
      <bottom/>
      <diagonal/>
    </border>
    <border>
      <left style="thin">
        <color indexed="64"/>
      </left>
      <right style="medium">
        <color indexed="64"/>
      </right>
      <top style="hair">
        <color indexed="8"/>
      </top>
      <bottom/>
      <diagonal/>
    </border>
    <border>
      <left style="medium">
        <color indexed="64"/>
      </left>
      <right style="hair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 style="hair">
        <color indexed="8"/>
      </bottom>
      <diagonal/>
    </border>
    <border>
      <left style="hair">
        <color indexed="8"/>
      </left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64"/>
      </right>
      <top/>
      <bottom style="hair">
        <color indexed="8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8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hair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/>
      <right style="hair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8"/>
      </right>
      <top style="thin">
        <color indexed="64"/>
      </top>
      <bottom style="hair">
        <color indexed="8"/>
      </bottom>
      <diagonal/>
    </border>
    <border>
      <left/>
      <right/>
      <top style="dashed">
        <color indexed="64"/>
      </top>
      <bottom/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 style="dashed">
        <color indexed="64"/>
      </top>
      <bottom/>
      <diagonal/>
    </border>
  </borders>
  <cellStyleXfs count="3">
    <xf numFmtId="0" fontId="10" fillId="0" borderId="0"/>
    <xf numFmtId="44" fontId="10" fillId="0" borderId="0"/>
    <xf numFmtId="0" fontId="1" fillId="0" borderId="0"/>
  </cellStyleXfs>
  <cellXfs count="322">
    <xf numFmtId="0" fontId="0" fillId="0" borderId="0" pivotButton="0" quotePrefix="0" xfId="0"/>
    <xf numFmtId="0" fontId="1" fillId="0" borderId="0" pivotButton="0" quotePrefix="0" xfId="2"/>
    <xf numFmtId="0" fontId="1" fillId="0" borderId="0" applyAlignment="1" pivotButton="0" quotePrefix="0" xfId="2">
      <alignment horizontal="left"/>
    </xf>
    <xf numFmtId="0" fontId="5" fillId="0" borderId="0" applyAlignment="1" pivotButton="0" quotePrefix="0" xfId="2">
      <alignment horizontal="center"/>
    </xf>
    <xf numFmtId="0" fontId="7" fillId="0" borderId="0" pivotButton="0" quotePrefix="0" xfId="2"/>
    <xf numFmtId="0" fontId="2" fillId="0" borderId="4" pivotButton="0" quotePrefix="0" xfId="2"/>
    <xf numFmtId="0" fontId="1" fillId="0" borderId="5" pivotButton="0" quotePrefix="0" xfId="2"/>
    <xf numFmtId="0" fontId="2" fillId="0" borderId="6" pivotButton="0" quotePrefix="0" xfId="2"/>
    <xf numFmtId="0" fontId="1" fillId="0" borderId="9" pivotButton="0" quotePrefix="0" xfId="2"/>
    <xf numFmtId="0" fontId="1" fillId="0" borderId="10" pivotButton="0" quotePrefix="0" xfId="2"/>
    <xf numFmtId="0" fontId="1" fillId="0" borderId="11" pivotButton="0" quotePrefix="0" xfId="2"/>
    <xf numFmtId="0" fontId="1" fillId="0" borderId="12" pivotButton="0" quotePrefix="0" xfId="2"/>
    <xf numFmtId="0" fontId="1" fillId="0" borderId="13" pivotButton="0" quotePrefix="0" xfId="2"/>
    <xf numFmtId="0" fontId="2" fillId="0" borderId="12" applyAlignment="1" pivotButton="0" quotePrefix="0" xfId="2">
      <alignment horizontal="center" vertical="top"/>
    </xf>
    <xf numFmtId="0" fontId="1" fillId="0" borderId="14" pivotButton="0" quotePrefix="0" xfId="2"/>
    <xf numFmtId="0" fontId="1" fillId="0" borderId="116" pivotButton="0" quotePrefix="0" xfId="2"/>
    <xf numFmtId="0" fontId="1" fillId="0" borderId="105" pivotButton="0" quotePrefix="0" xfId="2"/>
    <xf numFmtId="0" fontId="2" fillId="0" borderId="117" applyAlignment="1" pivotButton="0" quotePrefix="0" xfId="2">
      <alignment vertical="top" wrapText="1"/>
    </xf>
    <xf numFmtId="164" fontId="5" fillId="0" borderId="114" applyAlignment="1" pivotButton="0" quotePrefix="0" xfId="2">
      <alignment wrapText="1"/>
    </xf>
    <xf numFmtId="0" fontId="1" fillId="0" borderId="118" pivotButton="0" quotePrefix="0" xfId="2"/>
    <xf numFmtId="0" fontId="1" fillId="0" borderId="119" pivotButton="0" quotePrefix="0" xfId="2"/>
    <xf numFmtId="0" fontId="4" fillId="0" borderId="22" applyAlignment="1" pivotButton="0" quotePrefix="0" xfId="2">
      <alignment horizontal="center" vertical="center" wrapText="1"/>
    </xf>
    <xf numFmtId="0" fontId="5" fillId="0" borderId="17" applyAlignment="1" applyProtection="1" pivotButton="0" quotePrefix="0" xfId="2">
      <alignment horizontal="center" wrapText="1"/>
      <protection locked="0" hidden="0"/>
    </xf>
    <xf numFmtId="0" fontId="5" fillId="0" borderId="21" applyAlignment="1" applyProtection="1" pivotButton="0" quotePrefix="0" xfId="2">
      <alignment horizontal="center" wrapText="1"/>
      <protection locked="0" hidden="0"/>
    </xf>
    <xf numFmtId="164" fontId="5" fillId="0" borderId="0" applyAlignment="1" pivotButton="0" quotePrefix="0" xfId="2">
      <alignment horizontal="center" wrapText="1"/>
    </xf>
    <xf numFmtId="164" fontId="5" fillId="0" borderId="10" applyAlignment="1" pivotButton="0" quotePrefix="0" xfId="2">
      <alignment horizontal="center" wrapText="1"/>
    </xf>
    <xf numFmtId="0" fontId="2" fillId="0" borderId="0" applyAlignment="1" pivotButton="0" quotePrefix="0" xfId="2">
      <alignment horizontal="left" vertical="top" wrapText="1"/>
    </xf>
    <xf numFmtId="0" fontId="2" fillId="0" borderId="10" applyAlignment="1" pivotButton="0" quotePrefix="0" xfId="2">
      <alignment horizontal="left" vertical="top" wrapText="1"/>
    </xf>
    <xf numFmtId="0" fontId="2" fillId="0" borderId="44" applyAlignment="1" pivotButton="0" quotePrefix="0" xfId="2">
      <alignment horizontal="center" vertical="top" wrapText="1"/>
    </xf>
    <xf numFmtId="165" fontId="5" fillId="0" borderId="15" applyAlignment="1" pivotButton="0" quotePrefix="0" xfId="1">
      <alignment horizontal="right" wrapText="1"/>
    </xf>
    <xf numFmtId="165" fontId="5" fillId="0" borderId="65" applyAlignment="1" pivotButton="0" quotePrefix="0" xfId="1">
      <alignment horizontal="right" wrapText="1"/>
    </xf>
    <xf numFmtId="164" fontId="5" fillId="0" borderId="113" applyAlignment="1" pivotButton="0" quotePrefix="0" xfId="2">
      <alignment horizontal="center" wrapText="1"/>
    </xf>
    <xf numFmtId="164" fontId="5" fillId="0" borderId="115" applyAlignment="1" pivotButton="0" quotePrefix="0" xfId="2">
      <alignment horizontal="center" wrapText="1"/>
    </xf>
    <xf numFmtId="0" fontId="2" fillId="0" borderId="46" applyAlignment="1" pivotButton="0" quotePrefix="0" xfId="2">
      <alignment horizontal="left" vertical="top" wrapText="1"/>
    </xf>
    <xf numFmtId="0" fontId="2" fillId="0" borderId="47" applyAlignment="1" pivotButton="0" quotePrefix="0" xfId="2">
      <alignment horizontal="left" vertical="top" wrapText="1"/>
    </xf>
    <xf numFmtId="0" fontId="2" fillId="0" borderId="48" applyAlignment="1" pivotButton="0" quotePrefix="0" xfId="2">
      <alignment horizontal="left" vertical="top" wrapText="1"/>
    </xf>
    <xf numFmtId="0" fontId="2" fillId="0" borderId="49" applyAlignment="1" pivotButton="0" quotePrefix="0" xfId="2">
      <alignment horizontal="left" vertical="top" wrapText="1"/>
    </xf>
    <xf numFmtId="0" fontId="2" fillId="0" borderId="50" applyAlignment="1" pivotButton="0" quotePrefix="0" xfId="2">
      <alignment horizontal="left" vertical="top" wrapText="1"/>
    </xf>
    <xf numFmtId="0" fontId="2" fillId="0" borderId="51" applyAlignment="1" pivotButton="0" quotePrefix="0" xfId="2">
      <alignment horizontal="left" vertical="top" wrapText="1"/>
    </xf>
    <xf numFmtId="0" fontId="2" fillId="0" borderId="52" applyAlignment="1" pivotButton="0" quotePrefix="0" xfId="2">
      <alignment horizontal="left" vertical="top" wrapText="1"/>
    </xf>
    <xf numFmtId="14" fontId="5" fillId="0" borderId="53" applyAlignment="1" applyProtection="1" pivotButton="0" quotePrefix="0" xfId="2">
      <alignment horizontal="center" wrapText="1"/>
      <protection locked="0" hidden="0"/>
    </xf>
    <xf numFmtId="0" fontId="5" fillId="0" borderId="53" applyAlignment="1" applyProtection="1" pivotButton="0" quotePrefix="0" xfId="2">
      <alignment horizontal="center" wrapText="1"/>
      <protection locked="0" hidden="0"/>
    </xf>
    <xf numFmtId="0" fontId="2" fillId="0" borderId="2" applyAlignment="1" pivotButton="0" quotePrefix="0" xfId="2">
      <alignment horizontal="center" vertical="center" wrapText="1"/>
    </xf>
    <xf numFmtId="0" fontId="2" fillId="0" borderId="3" applyAlignment="1" pivotButton="0" quotePrefix="0" xfId="2">
      <alignment horizontal="center" vertical="center" wrapText="1"/>
    </xf>
    <xf numFmtId="4" fontId="2" fillId="0" borderId="36" applyAlignment="1" applyProtection="1" pivotButton="0" quotePrefix="0" xfId="2">
      <alignment horizontal="center" wrapText="1"/>
      <protection locked="0" hidden="0"/>
    </xf>
    <xf numFmtId="4" fontId="2" fillId="0" borderId="37" applyAlignment="1" applyProtection="1" pivotButton="0" quotePrefix="0" xfId="2">
      <alignment horizontal="center" wrapText="1"/>
      <protection locked="0" hidden="0"/>
    </xf>
    <xf numFmtId="0" fontId="2" fillId="0" borderId="1" applyAlignment="1" pivotButton="0" quotePrefix="0" xfId="2">
      <alignment horizontal="center" vertical="center" wrapText="1"/>
    </xf>
    <xf numFmtId="165" fontId="2" fillId="0" borderId="106" applyAlignment="1" pivotButton="0" quotePrefix="0" xfId="1">
      <alignment horizontal="center" vertical="center" wrapText="1"/>
    </xf>
    <xf numFmtId="165" fontId="2" fillId="0" borderId="120" applyAlignment="1" pivotButton="0" quotePrefix="0" xfId="1">
      <alignment horizontal="center" vertical="center" wrapText="1"/>
    </xf>
    <xf numFmtId="14" fontId="2" fillId="0" borderId="7" applyAlignment="1" pivotButton="0" quotePrefix="0" xfId="2">
      <alignment horizontal="center" vertical="center" wrapText="1"/>
    </xf>
    <xf numFmtId="165" fontId="2" fillId="0" borderId="42" applyAlignment="1" pivotButton="0" quotePrefix="0" xfId="2">
      <alignment horizontal="center" vertical="center" wrapText="1"/>
    </xf>
    <xf numFmtId="0" fontId="2" fillId="0" borderId="43" applyAlignment="1" pivotButton="0" quotePrefix="0" xfId="2">
      <alignment horizontal="center" vertical="center" wrapText="1"/>
    </xf>
    <xf numFmtId="0" fontId="2" fillId="0" borderId="113" applyAlignment="1" pivotButton="0" quotePrefix="0" xfId="2">
      <alignment horizontal="center" vertical="top" wrapText="1"/>
    </xf>
    <xf numFmtId="0" fontId="2" fillId="0" borderId="115" applyAlignment="1" pivotButton="0" quotePrefix="0" xfId="2">
      <alignment horizontal="center" vertical="top" wrapText="1"/>
    </xf>
    <xf numFmtId="164" fontId="5" fillId="0" borderId="112" applyAlignment="1" applyProtection="1" pivotButton="0" quotePrefix="0" xfId="2">
      <alignment horizontal="center" wrapText="1"/>
      <protection locked="0" hidden="0"/>
    </xf>
    <xf numFmtId="164" fontId="5" fillId="0" borderId="113" applyAlignment="1" applyProtection="1" pivotButton="0" quotePrefix="0" xfId="2">
      <alignment horizontal="center" wrapText="1"/>
      <protection locked="0" hidden="0"/>
    </xf>
    <xf numFmtId="164" fontId="5" fillId="0" borderId="115" applyAlignment="1" applyProtection="1" pivotButton="0" quotePrefix="0" xfId="2">
      <alignment horizontal="center" wrapText="1"/>
      <protection locked="0" hidden="0"/>
    </xf>
    <xf numFmtId="0" fontId="2" fillId="0" borderId="112" applyAlignment="1" pivotButton="0" quotePrefix="0" xfId="2">
      <alignment horizontal="center" vertical="top" wrapText="1"/>
    </xf>
    <xf numFmtId="14" fontId="2" fillId="0" borderId="7" applyAlignment="1" applyProtection="1" pivotButton="0" quotePrefix="0" xfId="2">
      <alignment horizontal="center" wrapText="1"/>
      <protection locked="0" hidden="0"/>
    </xf>
    <xf numFmtId="14" fontId="2" fillId="0" borderId="1" applyAlignment="1" applyProtection="1" pivotButton="0" quotePrefix="0" xfId="2">
      <alignment horizontal="center" wrapText="1"/>
      <protection locked="0" hidden="0"/>
    </xf>
    <xf numFmtId="165" fontId="5" fillId="0" borderId="67" applyAlignment="1" applyProtection="1" pivotButton="0" quotePrefix="0" xfId="1">
      <alignment horizontal="right" wrapText="1"/>
      <protection locked="0" hidden="0"/>
    </xf>
    <xf numFmtId="165" fontId="5" fillId="0" borderId="68" applyAlignment="1" applyProtection="1" pivotButton="0" quotePrefix="0" xfId="1">
      <alignment horizontal="right" wrapText="1"/>
      <protection locked="0" hidden="0"/>
    </xf>
    <xf numFmtId="0" fontId="4" fillId="2" borderId="58" applyAlignment="1" pivotButton="0" quotePrefix="0" xfId="2">
      <alignment horizontal="center" vertical="center" wrapText="1"/>
    </xf>
    <xf numFmtId="0" fontId="4" fillId="2" borderId="59" applyAlignment="1" pivotButton="0" quotePrefix="0" xfId="2">
      <alignment horizontal="center" vertical="center" wrapText="1"/>
    </xf>
    <xf numFmtId="0" fontId="4" fillId="2" borderId="60" applyAlignment="1" pivotButton="0" quotePrefix="0" xfId="2">
      <alignment horizontal="center" vertical="center" wrapText="1"/>
    </xf>
    <xf numFmtId="0" fontId="2" fillId="0" borderId="57" applyAlignment="1" pivotButton="0" quotePrefix="0" xfId="2">
      <alignment horizontal="center" vertical="center" wrapText="1"/>
    </xf>
    <xf numFmtId="14" fontId="2" fillId="0" borderId="62" applyAlignment="1" applyProtection="1" pivotButton="0" quotePrefix="0" xfId="2">
      <alignment horizontal="center" wrapText="1"/>
      <protection locked="0" hidden="0"/>
    </xf>
    <xf numFmtId="14" fontId="2" fillId="0" borderId="108" applyAlignment="1" applyProtection="1" pivotButton="0" quotePrefix="0" xfId="2">
      <alignment horizontal="center" wrapText="1"/>
      <protection locked="0" hidden="0"/>
    </xf>
    <xf numFmtId="14" fontId="2" fillId="0" borderId="109" applyAlignment="1" applyProtection="1" pivotButton="0" quotePrefix="0" xfId="2">
      <alignment horizontal="center" wrapText="1"/>
      <protection locked="0" hidden="0"/>
    </xf>
    <xf numFmtId="0" fontId="2" fillId="0" borderId="63" applyAlignment="1" pivotButton="0" quotePrefix="0" xfId="2">
      <alignment horizontal="center" vertical="center" wrapText="1"/>
    </xf>
    <xf numFmtId="0" fontId="2" fillId="0" borderId="64" applyAlignment="1" pivotButton="0" quotePrefix="0" xfId="2">
      <alignment horizontal="center" vertical="center" wrapText="1"/>
    </xf>
    <xf numFmtId="0" fontId="4" fillId="0" borderId="24" applyAlignment="1" pivotButton="0" quotePrefix="0" xfId="2">
      <alignment horizontal="center" vertical="center" wrapText="1"/>
    </xf>
    <xf numFmtId="0" fontId="4" fillId="0" borderId="22" applyAlignment="1" pivotButton="0" quotePrefix="0" xfId="2">
      <alignment horizontal="center" vertical="center" wrapText="1"/>
    </xf>
    <xf numFmtId="0" fontId="4" fillId="0" borderId="69" applyAlignment="1" pivotButton="0" quotePrefix="0" xfId="2">
      <alignment horizontal="center" vertical="center" wrapText="1"/>
    </xf>
    <xf numFmtId="0" fontId="4" fillId="0" borderId="71" applyAlignment="1" pivotButton="0" quotePrefix="0" xfId="2">
      <alignment horizontal="center" vertical="center" wrapText="1"/>
    </xf>
    <xf numFmtId="0" fontId="4" fillId="0" borderId="26" applyAlignment="1" pivotButton="0" quotePrefix="0" xfId="2">
      <alignment horizontal="center" vertical="center" wrapText="1"/>
    </xf>
    <xf numFmtId="0" fontId="4" fillId="0" borderId="45" applyAlignment="1" pivotButton="0" quotePrefix="0" xfId="2">
      <alignment horizontal="center" vertical="center" wrapText="1"/>
    </xf>
    <xf numFmtId="0" fontId="2" fillId="0" borderId="24" applyAlignment="1" pivotButton="0" quotePrefix="0" xfId="2">
      <alignment horizontal="center" vertical="center" wrapText="1"/>
    </xf>
    <xf numFmtId="0" fontId="2" fillId="0" borderId="22" applyAlignment="1" pivotButton="0" quotePrefix="0" xfId="2">
      <alignment horizontal="center" vertical="center" wrapText="1"/>
    </xf>
    <xf numFmtId="14" fontId="5" fillId="0" borderId="54" applyAlignment="1" applyProtection="1" pivotButton="0" quotePrefix="0" xfId="2">
      <alignment horizontal="left" wrapText="1"/>
      <protection locked="0" hidden="0"/>
    </xf>
    <xf numFmtId="14" fontId="5" fillId="0" borderId="55" applyAlignment="1" applyProtection="1" pivotButton="0" quotePrefix="0" xfId="2">
      <alignment horizontal="left" wrapText="1"/>
      <protection locked="0" hidden="0"/>
    </xf>
    <xf numFmtId="0" fontId="6" fillId="0" borderId="10" applyAlignment="1" pivotButton="0" quotePrefix="0" xfId="2">
      <alignment horizontal="center" textRotation="90" wrapText="1"/>
    </xf>
    <xf numFmtId="0" fontId="6" fillId="0" borderId="0" applyAlignment="1" pivotButton="0" quotePrefix="0" xfId="2">
      <alignment horizontal="center" textRotation="90" wrapText="1"/>
    </xf>
    <xf numFmtId="4" fontId="5" fillId="0" borderId="34" applyAlignment="1" applyProtection="1" pivotButton="0" quotePrefix="0" xfId="2">
      <alignment horizontal="center" wrapText="1"/>
      <protection locked="0" hidden="0"/>
    </xf>
    <xf numFmtId="4" fontId="5" fillId="0" borderId="35" applyAlignment="1" applyProtection="1" pivotButton="0" quotePrefix="0" xfId="2">
      <alignment horizontal="center" wrapText="1"/>
      <protection locked="0" hidden="0"/>
    </xf>
    <xf numFmtId="0" fontId="2" fillId="0" borderId="38" applyAlignment="1" pivotButton="0" quotePrefix="0" xfId="2">
      <alignment horizontal="center" vertical="center" wrapText="1"/>
    </xf>
    <xf numFmtId="0" fontId="2" fillId="0" borderId="39" applyAlignment="1" pivotButton="0" quotePrefix="0" xfId="2">
      <alignment horizontal="center" vertical="center" wrapText="1"/>
    </xf>
    <xf numFmtId="0" fontId="2" fillId="0" borderId="40" applyAlignment="1" applyProtection="1" pivotButton="0" quotePrefix="0" xfId="2">
      <alignment horizontal="center" wrapText="1"/>
      <protection locked="0" hidden="0"/>
    </xf>
    <xf numFmtId="0" fontId="2" fillId="0" borderId="41" applyAlignment="1" applyProtection="1" pivotButton="0" quotePrefix="0" xfId="2">
      <alignment horizontal="center" wrapText="1"/>
      <protection locked="0" hidden="0"/>
    </xf>
    <xf numFmtId="0" fontId="2" fillId="0" borderId="30" applyAlignment="1" pivotButton="0" quotePrefix="0" xfId="2">
      <alignment horizontal="center" vertical="center" wrapText="1"/>
    </xf>
    <xf numFmtId="0" fontId="2" fillId="0" borderId="31" applyAlignment="1" pivotButton="0" quotePrefix="0" xfId="2">
      <alignment horizontal="center" vertical="center" wrapText="1"/>
    </xf>
    <xf numFmtId="0" fontId="2" fillId="0" borderId="32" applyAlignment="1" pivotButton="0" quotePrefix="0" xfId="2">
      <alignment horizontal="center" vertical="center" wrapText="1"/>
    </xf>
    <xf numFmtId="0" fontId="2" fillId="0" borderId="107" applyAlignment="1" pivotButton="0" quotePrefix="0" xfId="2">
      <alignment horizontal="center" vertical="center" wrapText="1"/>
    </xf>
    <xf numFmtId="0" fontId="2" fillId="0" borderId="33" applyAlignment="1" pivotButton="0" quotePrefix="0" xfId="2">
      <alignment horizontal="center" vertical="center" wrapText="1"/>
    </xf>
    <xf numFmtId="0" fontId="2" fillId="0" borderId="2" applyAlignment="1" applyProtection="1" pivotButton="0" quotePrefix="0" xfId="2">
      <alignment horizontal="center" wrapText="1"/>
      <protection locked="0" hidden="0"/>
    </xf>
    <xf numFmtId="0" fontId="2" fillId="0" borderId="3" applyAlignment="1" applyProtection="1" pivotButton="0" quotePrefix="0" xfId="2">
      <alignment horizontal="center" wrapText="1"/>
      <protection locked="0" hidden="0"/>
    </xf>
    <xf numFmtId="0" fontId="2" fillId="0" borderId="110" applyAlignment="1" pivotButton="0" quotePrefix="0" xfId="2">
      <alignment horizontal="center" vertical="center" wrapText="1"/>
    </xf>
    <xf numFmtId="0" fontId="2" fillId="0" borderId="111" applyAlignment="1" pivotButton="0" quotePrefix="0" xfId="2">
      <alignment horizontal="center" vertical="center" wrapText="1"/>
    </xf>
    <xf numFmtId="0" fontId="2" fillId="0" borderId="109" applyAlignment="1" pivotButton="0" quotePrefix="0" xfId="2">
      <alignment horizontal="center" vertical="center" wrapText="1"/>
    </xf>
    <xf numFmtId="0" fontId="7" fillId="0" borderId="57" applyAlignment="1" pivotButton="0" quotePrefix="0" xfId="2">
      <alignment horizontal="center"/>
    </xf>
    <xf numFmtId="0" fontId="4" fillId="2" borderId="56" applyAlignment="1" pivotButton="0" quotePrefix="0" xfId="2">
      <alignment horizontal="center" vertical="center" wrapText="1"/>
    </xf>
    <xf numFmtId="0" fontId="4" fillId="2" borderId="15" applyAlignment="1" pivotButton="0" quotePrefix="0" xfId="2">
      <alignment horizontal="center" vertical="center" wrapText="1"/>
    </xf>
    <xf numFmtId="165" fontId="5" fillId="0" borderId="15" applyAlignment="1" pivotButton="0" quotePrefix="0" xfId="1">
      <alignment horizontal="center" wrapText="1"/>
    </xf>
    <xf numFmtId="165" fontId="5" fillId="0" borderId="16" applyAlignment="1" pivotButton="0" quotePrefix="0" xfId="1">
      <alignment horizontal="center" wrapText="1"/>
    </xf>
    <xf numFmtId="165" fontId="5" fillId="0" borderId="17" applyAlignment="1" applyProtection="1" pivotButton="0" quotePrefix="0" xfId="1">
      <alignment horizontal="center" wrapText="1"/>
      <protection locked="0" hidden="0"/>
    </xf>
    <xf numFmtId="165" fontId="5" fillId="0" borderId="18" applyAlignment="1" applyProtection="1" pivotButton="0" quotePrefix="0" xfId="1">
      <alignment horizontal="center" wrapText="1"/>
      <protection locked="0" hidden="0"/>
    </xf>
    <xf numFmtId="165" fontId="5" fillId="0" borderId="19" applyAlignment="1" applyProtection="1" pivotButton="0" quotePrefix="0" xfId="1">
      <alignment horizontal="center" wrapText="1"/>
      <protection locked="0" hidden="0"/>
    </xf>
    <xf numFmtId="165" fontId="5" fillId="0" borderId="20" applyAlignment="1" applyProtection="1" pivotButton="0" quotePrefix="0" xfId="1">
      <alignment horizontal="center" wrapText="1"/>
      <protection locked="0" hidden="0"/>
    </xf>
    <xf numFmtId="165" fontId="5" fillId="0" borderId="24" applyAlignment="1" applyProtection="1" pivotButton="0" quotePrefix="0" xfId="1">
      <alignment horizontal="center" wrapText="1"/>
      <protection locked="0" hidden="0"/>
    </xf>
    <xf numFmtId="165" fontId="5" fillId="0" borderId="23" applyAlignment="1" applyProtection="1" pivotButton="0" quotePrefix="0" xfId="1">
      <alignment horizontal="center" wrapText="1"/>
      <protection locked="0" hidden="0"/>
    </xf>
    <xf numFmtId="165" fontId="5" fillId="0" borderId="21" applyAlignment="1" applyProtection="1" pivotButton="0" quotePrefix="0" xfId="1">
      <alignment horizontal="center" wrapText="1"/>
      <protection locked="0" hidden="0"/>
    </xf>
    <xf numFmtId="165" fontId="5" fillId="0" borderId="0" applyAlignment="1" applyProtection="1" pivotButton="0" quotePrefix="0" xfId="1">
      <alignment horizontal="center" wrapText="1"/>
      <protection locked="0" hidden="0"/>
    </xf>
    <xf numFmtId="165" fontId="5" fillId="0" borderId="22" applyAlignment="1" applyProtection="1" pivotButton="0" quotePrefix="0" xfId="1">
      <alignment horizontal="center" wrapText="1"/>
      <protection locked="0" hidden="0"/>
    </xf>
    <xf numFmtId="0" fontId="2" fillId="0" borderId="17" applyAlignment="1" pivotButton="0" quotePrefix="0" xfId="2">
      <alignment horizontal="center" vertical="center" wrapText="1"/>
    </xf>
    <xf numFmtId="0" fontId="2" fillId="0" borderId="21" applyAlignment="1" pivotButton="0" quotePrefix="0" xfId="2">
      <alignment horizontal="center" vertical="center" wrapText="1"/>
    </xf>
    <xf numFmtId="0" fontId="2" fillId="0" borderId="18" applyAlignment="1" pivotButton="0" quotePrefix="0" xfId="2">
      <alignment horizontal="center" vertical="center" wrapText="1"/>
    </xf>
    <xf numFmtId="165" fontId="5" fillId="0" borderId="16" applyAlignment="1" pivotButton="0" quotePrefix="0" xfId="1">
      <alignment horizontal="right" wrapText="1"/>
    </xf>
    <xf numFmtId="165" fontId="5" fillId="0" borderId="66" applyAlignment="1" pivotButton="0" quotePrefix="0" xfId="1">
      <alignment horizontal="right" wrapText="1"/>
    </xf>
    <xf numFmtId="14" fontId="5" fillId="0" borderId="54" applyAlignment="1" applyProtection="1" pivotButton="0" quotePrefix="0" xfId="2">
      <alignment horizontal="center" vertical="center" wrapText="1"/>
      <protection locked="0" hidden="0"/>
    </xf>
    <xf numFmtId="14" fontId="5" fillId="0" borderId="55" applyAlignment="1" applyProtection="1" pivotButton="0" quotePrefix="0" xfId="2">
      <alignment horizontal="center" vertical="center" wrapText="1"/>
      <protection locked="0" hidden="0"/>
    </xf>
    <xf numFmtId="0" fontId="2" fillId="0" borderId="61" applyAlignment="1" pivotButton="0" quotePrefix="0" xfId="2">
      <alignment horizontal="center" vertical="center" wrapText="1"/>
    </xf>
    <xf numFmtId="0" fontId="2" fillId="0" borderId="26" applyAlignment="1" pivotButton="0" quotePrefix="0" xfId="2">
      <alignment horizontal="center" vertical="center" wrapText="1"/>
    </xf>
    <xf numFmtId="0" fontId="2" fillId="0" borderId="27" applyAlignment="1" pivotButton="0" quotePrefix="0" xfId="2">
      <alignment horizontal="center" vertical="center" wrapText="1"/>
    </xf>
    <xf numFmtId="0" fontId="2" fillId="0" borderId="28" applyAlignment="1" pivotButton="0" quotePrefix="0" xfId="2">
      <alignment horizontal="center" vertical="center" wrapText="1"/>
    </xf>
    <xf numFmtId="0" fontId="2" fillId="0" borderId="29" applyAlignment="1" pivotButton="0" quotePrefix="0" xfId="2">
      <alignment horizontal="center" vertical="center" wrapText="1"/>
    </xf>
    <xf numFmtId="165" fontId="5" fillId="0" borderId="2" applyAlignment="1" applyProtection="1" pivotButton="0" quotePrefix="0" xfId="1">
      <alignment horizontal="right" wrapText="1"/>
      <protection locked="0" hidden="0"/>
    </xf>
    <xf numFmtId="165" fontId="5" fillId="0" borderId="17" applyAlignment="1" applyProtection="1" pivotButton="0" quotePrefix="0" xfId="1">
      <alignment horizontal="right" wrapText="1"/>
      <protection locked="0" hidden="0"/>
    </xf>
    <xf numFmtId="0" fontId="2" fillId="0" borderId="69" applyAlignment="1" pivotButton="0" quotePrefix="0" xfId="2">
      <alignment horizontal="center" vertical="center" wrapText="1"/>
    </xf>
    <xf numFmtId="0" fontId="2" fillId="0" borderId="70" applyAlignment="1" pivotButton="0" quotePrefix="0" xfId="2">
      <alignment horizontal="center" vertical="center" wrapText="1"/>
    </xf>
    <xf numFmtId="165" fontId="5" fillId="0" borderId="1" applyAlignment="1" applyProtection="1" pivotButton="0" quotePrefix="0" xfId="1">
      <alignment horizontal="right" wrapText="1"/>
      <protection locked="0" hidden="0"/>
    </xf>
    <xf numFmtId="165" fontId="5" fillId="0" borderId="18" applyAlignment="1" applyProtection="1" pivotButton="0" quotePrefix="0" xfId="1">
      <alignment horizontal="right" wrapText="1"/>
      <protection locked="0" hidden="0"/>
    </xf>
    <xf numFmtId="0" fontId="7" fillId="0" borderId="8" applyAlignment="1" pivotButton="0" quotePrefix="1" xfId="2">
      <alignment horizontal="center" vertical="center" wrapText="1"/>
    </xf>
    <xf numFmtId="0" fontId="7" fillId="0" borderId="25" applyAlignment="1" pivotButton="0" quotePrefix="0" xfId="2">
      <alignment horizontal="center" vertical="center" wrapText="1"/>
    </xf>
    <xf numFmtId="0" fontId="2" fillId="0" borderId="68" applyAlignment="1" pivotButton="0" quotePrefix="0" xfId="2">
      <alignment horizontal="left" vertical="top" wrapText="1"/>
    </xf>
    <xf numFmtId="0" fontId="9" fillId="2" borderId="26" applyAlignment="1" pivotButton="0" quotePrefix="0" xfId="2">
      <alignment horizontal="center" vertical="center" wrapText="1"/>
    </xf>
    <xf numFmtId="0" fontId="9" fillId="2" borderId="75" applyAlignment="1" pivotButton="0" quotePrefix="0" xfId="2">
      <alignment horizontal="center" vertical="center" wrapText="1"/>
    </xf>
    <xf numFmtId="0" fontId="9" fillId="2" borderId="76" applyAlignment="1" pivotButton="0" quotePrefix="0" xfId="2">
      <alignment horizontal="center" vertical="center" wrapText="1"/>
    </xf>
    <xf numFmtId="166" fontId="2" fillId="0" borderId="79" applyAlignment="1" pivotButton="0" quotePrefix="0" xfId="2">
      <alignment horizontal="left" vertical="top" wrapText="1"/>
    </xf>
    <xf numFmtId="166" fontId="2" fillId="0" borderId="80" applyAlignment="1" pivotButton="0" quotePrefix="0" xfId="2">
      <alignment horizontal="left" vertical="top" wrapText="1"/>
    </xf>
    <xf numFmtId="0" fontId="2" fillId="0" borderId="81" applyAlignment="1" pivotButton="0" quotePrefix="0" xfId="2">
      <alignment horizontal="center" vertical="center" wrapText="1"/>
    </xf>
    <xf numFmtId="0" fontId="2" fillId="0" borderId="49" applyAlignment="1" pivotButton="0" quotePrefix="0" xfId="2">
      <alignment horizontal="center" vertical="center" wrapText="1"/>
    </xf>
    <xf numFmtId="0" fontId="2" fillId="3" borderId="81" applyAlignment="1" pivotButton="0" quotePrefix="0" xfId="2">
      <alignment horizontal="center" vertical="center" wrapText="1"/>
    </xf>
    <xf numFmtId="0" fontId="2" fillId="3" borderId="49" applyAlignment="1" pivotButton="0" quotePrefix="0" xfId="2">
      <alignment horizontal="center" vertical="center" wrapText="1"/>
    </xf>
    <xf numFmtId="0" fontId="2" fillId="3" borderId="28" applyAlignment="1" pivotButton="0" quotePrefix="0" xfId="2">
      <alignment horizontal="center" vertical="center" wrapText="1"/>
    </xf>
    <xf numFmtId="0" fontId="2" fillId="3" borderId="29" applyAlignment="1" pivotButton="0" quotePrefix="0" xfId="2">
      <alignment horizontal="center" vertical="center" wrapText="1"/>
    </xf>
    <xf numFmtId="0" fontId="2" fillId="0" borderId="54" applyAlignment="1" pivotButton="0" quotePrefix="0" xfId="2">
      <alignment horizontal="left" vertical="top" wrapText="1"/>
    </xf>
    <xf numFmtId="0" fontId="2" fillId="0" borderId="55" applyAlignment="1" pivotButton="0" quotePrefix="0" xfId="2">
      <alignment horizontal="left" vertical="top" wrapText="1"/>
    </xf>
    <xf numFmtId="0" fontId="8" fillId="0" borderId="90" applyAlignment="1" pivotButton="0" quotePrefix="0" xfId="2">
      <alignment horizontal="center" vertical="center"/>
    </xf>
    <xf numFmtId="0" fontId="8" fillId="0" borderId="91" applyAlignment="1" pivotButton="0" quotePrefix="0" xfId="2">
      <alignment horizontal="center" vertical="center"/>
    </xf>
    <xf numFmtId="0" fontId="8" fillId="0" borderId="92" applyAlignment="1" pivotButton="0" quotePrefix="0" xfId="2">
      <alignment horizontal="center" vertical="center"/>
    </xf>
    <xf numFmtId="0" fontId="8" fillId="0" borderId="93" applyAlignment="1" pivotButton="0" quotePrefix="0" xfId="2">
      <alignment horizontal="center" vertical="center"/>
    </xf>
    <xf numFmtId="1" fontId="5" fillId="0" borderId="94" applyAlignment="1" pivotButton="0" quotePrefix="0" xfId="2">
      <alignment horizontal="left" wrapText="1"/>
    </xf>
    <xf numFmtId="1" fontId="5" fillId="0" borderId="95" applyAlignment="1" pivotButton="0" quotePrefix="0" xfId="2">
      <alignment horizontal="left" wrapText="1"/>
    </xf>
    <xf numFmtId="0" fontId="4" fillId="2" borderId="96" applyAlignment="1" pivotButton="0" quotePrefix="0" xfId="2">
      <alignment horizontal="center" vertical="center" wrapText="1"/>
    </xf>
    <xf numFmtId="0" fontId="4" fillId="2" borderId="97" applyAlignment="1" pivotButton="0" quotePrefix="0" xfId="2">
      <alignment horizontal="center" vertical="center" wrapText="1"/>
    </xf>
    <xf numFmtId="0" fontId="4" fillId="2" borderId="98" applyAlignment="1" pivotButton="0" quotePrefix="0" xfId="2">
      <alignment horizontal="center" vertical="center" wrapText="1"/>
    </xf>
    <xf numFmtId="0" fontId="5" fillId="0" borderId="72" applyAlignment="1" applyProtection="1" pivotButton="0" quotePrefix="0" xfId="2">
      <alignment horizontal="left" wrapText="1"/>
      <protection locked="0" hidden="0"/>
    </xf>
    <xf numFmtId="0" fontId="5" fillId="0" borderId="73" applyAlignment="1" applyProtection="1" pivotButton="0" quotePrefix="0" xfId="2">
      <alignment horizontal="left" wrapText="1"/>
      <protection locked="0" hidden="0"/>
    </xf>
    <xf numFmtId="0" fontId="5" fillId="0" borderId="74" applyAlignment="1" applyProtection="1" pivotButton="0" quotePrefix="0" xfId="2">
      <alignment horizontal="left" wrapText="1"/>
      <protection locked="0" hidden="0"/>
    </xf>
    <xf numFmtId="0" fontId="7" fillId="3" borderId="6" applyAlignment="1" pivotButton="0" quotePrefix="1" xfId="2">
      <alignment horizontal="center" vertical="center" wrapText="1"/>
    </xf>
    <xf numFmtId="0" fontId="7" fillId="3" borderId="4" applyAlignment="1" pivotButton="0" quotePrefix="0" xfId="2">
      <alignment horizontal="center" vertical="center" wrapText="1"/>
    </xf>
    <xf numFmtId="14" fontId="4" fillId="0" borderId="82" applyAlignment="1" applyProtection="1" pivotButton="0" quotePrefix="0" xfId="2">
      <alignment horizontal="center" wrapText="1"/>
      <protection locked="0" hidden="0"/>
    </xf>
    <xf numFmtId="14" fontId="4" fillId="0" borderId="83" applyAlignment="1" applyProtection="1" pivotButton="0" quotePrefix="0" xfId="2">
      <alignment horizontal="center" wrapText="1"/>
      <protection locked="0" hidden="0"/>
    </xf>
    <xf numFmtId="0" fontId="2" fillId="0" borderId="81" applyAlignment="1" pivotButton="0" quotePrefix="0" xfId="2">
      <alignment horizontal="right" vertical="top"/>
    </xf>
    <xf numFmtId="0" fontId="2" fillId="0" borderId="49" applyAlignment="1" pivotButton="0" quotePrefix="0" xfId="2">
      <alignment horizontal="right" vertical="top"/>
    </xf>
    <xf numFmtId="14" fontId="4" fillId="0" borderId="125" applyAlignment="1" applyProtection="1" pivotButton="0" quotePrefix="0" xfId="2">
      <alignment horizontal="center" wrapText="1"/>
      <protection locked="0" hidden="0"/>
    </xf>
    <xf numFmtId="14" fontId="4" fillId="0" borderId="126" applyAlignment="1" applyProtection="1" pivotButton="0" quotePrefix="0" xfId="2">
      <alignment horizontal="center" wrapText="1"/>
      <protection locked="0" hidden="0"/>
    </xf>
    <xf numFmtId="14" fontId="4" fillId="0" borderId="127" applyAlignment="1" applyProtection="1" pivotButton="0" quotePrefix="0" xfId="2">
      <alignment horizontal="center" wrapText="1"/>
      <protection locked="0" hidden="0"/>
    </xf>
    <xf numFmtId="14" fontId="4" fillId="0" borderId="114" applyAlignment="1" applyProtection="1" pivotButton="0" quotePrefix="0" xfId="2">
      <alignment horizontal="center" wrapText="1"/>
      <protection locked="0" hidden="0"/>
    </xf>
    <xf numFmtId="0" fontId="5" fillId="0" borderId="82" applyAlignment="1" applyProtection="1" pivotButton="0" quotePrefix="0" xfId="2">
      <alignment horizontal="center" vertical="center" wrapText="1"/>
      <protection locked="0" hidden="0"/>
    </xf>
    <xf numFmtId="0" fontId="5" fillId="0" borderId="84" applyAlignment="1" applyProtection="1" pivotButton="0" quotePrefix="0" xfId="2">
      <alignment horizontal="center" vertical="center" wrapText="1"/>
      <protection locked="0" hidden="0"/>
    </xf>
    <xf numFmtId="0" fontId="5" fillId="0" borderId="85" applyAlignment="1" applyProtection="1" pivotButton="0" quotePrefix="0" xfId="2">
      <alignment horizontal="center" vertical="center" wrapText="1"/>
      <protection locked="0" hidden="0"/>
    </xf>
    <xf numFmtId="0" fontId="5" fillId="0" borderId="86" applyAlignment="1" applyProtection="1" pivotButton="0" quotePrefix="0" xfId="2">
      <alignment horizontal="center" vertical="center" wrapText="1"/>
      <protection locked="0" hidden="0"/>
    </xf>
    <xf numFmtId="0" fontId="5" fillId="0" borderId="89" applyAlignment="1" pivotButton="0" quotePrefix="0" xfId="2">
      <alignment horizontal="left" wrapText="1"/>
    </xf>
    <xf numFmtId="0" fontId="5" fillId="0" borderId="87" applyAlignment="1" pivotButton="0" quotePrefix="0" xfId="2">
      <alignment horizontal="left" wrapText="1"/>
    </xf>
    <xf numFmtId="0" fontId="5" fillId="0" borderId="88" applyAlignment="1" pivotButton="0" quotePrefix="0" xfId="2">
      <alignment horizontal="left" wrapText="1"/>
    </xf>
    <xf numFmtId="0" fontId="2" fillId="0" borderId="99" applyAlignment="1" pivotButton="0" quotePrefix="0" xfId="2">
      <alignment horizontal="center" vertical="center" wrapText="1"/>
    </xf>
    <xf numFmtId="0" fontId="2" fillId="0" borderId="100" applyAlignment="1" pivotButton="0" quotePrefix="0" xfId="2">
      <alignment horizontal="center" vertical="center" wrapText="1"/>
    </xf>
    <xf numFmtId="0" fontId="2" fillId="0" borderId="101" applyAlignment="1" pivotButton="0" quotePrefix="0" xfId="2">
      <alignment horizontal="center" vertical="center" wrapText="1"/>
    </xf>
    <xf numFmtId="0" fontId="3" fillId="0" borderId="100" applyAlignment="1" pivotButton="0" quotePrefix="0" xfId="2">
      <alignment horizontal="center" vertical="center" wrapText="1"/>
    </xf>
    <xf numFmtId="0" fontId="3" fillId="0" borderId="102" applyAlignment="1" pivotButton="0" quotePrefix="0" xfId="2">
      <alignment horizontal="center" vertical="center" wrapText="1"/>
    </xf>
    <xf numFmtId="0" fontId="3" fillId="0" borderId="101" applyAlignment="1" pivotButton="0" quotePrefix="0" xfId="2">
      <alignment horizontal="center" vertical="center" wrapText="1"/>
    </xf>
    <xf numFmtId="0" fontId="3" fillId="0" borderId="103" applyAlignment="1" pivotButton="0" quotePrefix="0" xfId="2">
      <alignment horizontal="center" vertical="center" wrapText="1"/>
    </xf>
    <xf numFmtId="0" fontId="2" fillId="0" borderId="9" applyAlignment="1" pivotButton="0" quotePrefix="0" xfId="2">
      <alignment horizontal="left" vertical="top" wrapText="1"/>
    </xf>
    <xf numFmtId="0" fontId="1" fillId="0" borderId="19" applyAlignment="1" pivotButton="0" quotePrefix="0" xfId="2">
      <alignment horizontal="left" vertical="center"/>
    </xf>
    <xf numFmtId="0" fontId="1" fillId="0" borderId="0" applyAlignment="1" pivotButton="0" quotePrefix="0" xfId="2">
      <alignment horizontal="left" vertical="center"/>
    </xf>
    <xf numFmtId="0" fontId="1" fillId="0" borderId="20" applyAlignment="1" pivotButton="0" quotePrefix="0" xfId="2">
      <alignment horizontal="left" vertical="center"/>
    </xf>
    <xf numFmtId="0" fontId="2" fillId="0" borderId="19" applyAlignment="1" pivotButton="0" quotePrefix="0" xfId="2">
      <alignment horizontal="left" vertical="center"/>
    </xf>
    <xf numFmtId="0" fontId="2" fillId="0" borderId="0" applyAlignment="1" pivotButton="0" quotePrefix="0" xfId="2">
      <alignment horizontal="left" vertical="center"/>
    </xf>
    <xf numFmtId="0" fontId="2" fillId="0" borderId="17" applyAlignment="1" pivotButton="0" quotePrefix="0" xfId="2">
      <alignment horizontal="left" vertical="top" wrapText="1"/>
    </xf>
    <xf numFmtId="0" fontId="2" fillId="0" borderId="21" applyAlignment="1" pivotButton="0" quotePrefix="0" xfId="2">
      <alignment horizontal="left" vertical="top" wrapText="1"/>
    </xf>
    <xf numFmtId="0" fontId="2" fillId="0" borderId="18" applyAlignment="1" pivotButton="0" quotePrefix="0" xfId="2">
      <alignment horizontal="left" vertical="top" wrapText="1"/>
    </xf>
    <xf numFmtId="0" fontId="5" fillId="0" borderId="77" applyAlignment="1" pivotButton="0" quotePrefix="0" xfId="2">
      <alignment horizontal="left" wrapText="1"/>
    </xf>
    <xf numFmtId="0" fontId="5" fillId="0" borderId="22" applyAlignment="1" pivotButton="0" quotePrefix="0" xfId="2">
      <alignment horizontal="left" wrapText="1"/>
    </xf>
    <xf numFmtId="0" fontId="4" fillId="0" borderId="19" applyAlignment="1" pivotButton="0" quotePrefix="0" xfId="2">
      <alignment horizontal="center" vertical="top"/>
    </xf>
    <xf numFmtId="0" fontId="4" fillId="0" borderId="0" applyAlignment="1" pivotButton="0" quotePrefix="0" xfId="2">
      <alignment horizontal="center" vertical="top"/>
    </xf>
    <xf numFmtId="0" fontId="4" fillId="0" borderId="121" applyAlignment="1" pivotButton="0" quotePrefix="0" xfId="2">
      <alignment horizontal="center" vertical="top"/>
    </xf>
    <xf numFmtId="0" fontId="4" fillId="0" borderId="24" applyAlignment="1" pivotButton="0" quotePrefix="0" xfId="2">
      <alignment horizontal="center" vertical="top"/>
    </xf>
    <xf numFmtId="0" fontId="4" fillId="0" borderId="22" applyAlignment="1" pivotButton="0" quotePrefix="0" xfId="2">
      <alignment horizontal="center" vertical="top"/>
    </xf>
    <xf numFmtId="0" fontId="4" fillId="0" borderId="42" applyAlignment="1" pivotButton="0" quotePrefix="0" xfId="2">
      <alignment horizontal="center" vertical="top"/>
    </xf>
    <xf numFmtId="0" fontId="4" fillId="0" borderId="0" applyAlignment="1" pivotButton="0" quotePrefix="0" xfId="2">
      <alignment horizontal="center" vertical="top" wrapText="1"/>
    </xf>
    <xf numFmtId="0" fontId="4" fillId="0" borderId="10" applyAlignment="1" pivotButton="0" quotePrefix="0" xfId="2">
      <alignment horizontal="center" vertical="top" wrapText="1"/>
    </xf>
    <xf numFmtId="0" fontId="4" fillId="0" borderId="22" applyAlignment="1" pivotButton="0" quotePrefix="0" xfId="2">
      <alignment horizontal="center" vertical="top" wrapText="1"/>
    </xf>
    <xf numFmtId="0" fontId="4" fillId="0" borderId="104" applyAlignment="1" pivotButton="0" quotePrefix="0" xfId="2">
      <alignment horizontal="center" vertical="top" wrapText="1"/>
    </xf>
    <xf numFmtId="0" fontId="4" fillId="0" borderId="122" applyAlignment="1" pivotButton="0" quotePrefix="0" xfId="2">
      <alignment horizontal="center" vertical="center"/>
    </xf>
    <xf numFmtId="0" fontId="4" fillId="0" borderId="123" applyAlignment="1" pivotButton="0" quotePrefix="0" xfId="2">
      <alignment horizontal="center" vertical="center"/>
    </xf>
    <xf numFmtId="0" fontId="4" fillId="0" borderId="124" applyAlignment="1" pivotButton="0" quotePrefix="0" xfId="2">
      <alignment horizontal="center" vertical="center"/>
    </xf>
    <xf numFmtId="14" fontId="5" fillId="0" borderId="78" applyAlignment="1" applyProtection="1" pivotButton="0" quotePrefix="0" xfId="2">
      <alignment horizontal="left" wrapText="1"/>
      <protection locked="0" hidden="0"/>
    </xf>
    <xf numFmtId="0" fontId="5" fillId="0" borderId="46" applyAlignment="1" pivotButton="0" quotePrefix="0" xfId="2">
      <alignment horizontal="left" wrapText="1"/>
    </xf>
    <xf numFmtId="0" fontId="5" fillId="0" borderId="47" applyAlignment="1" pivotButton="0" quotePrefix="0" xfId="2">
      <alignment horizontal="left" wrapText="1"/>
    </xf>
    <xf numFmtId="14" fontId="5" fillId="0" borderId="24" applyAlignment="1" applyProtection="1" pivotButton="0" quotePrefix="0" xfId="2">
      <alignment horizontal="left" wrapText="1"/>
      <protection locked="0" hidden="0"/>
    </xf>
    <xf numFmtId="14" fontId="5" fillId="0" borderId="22" applyAlignment="1" applyProtection="1" pivotButton="0" quotePrefix="0" xfId="2">
      <alignment horizontal="left" wrapText="1"/>
      <protection locked="0" hidden="0"/>
    </xf>
    <xf numFmtId="14" fontId="5" fillId="0" borderId="23" applyAlignment="1" applyProtection="1" pivotButton="0" quotePrefix="0" xfId="2">
      <alignment horizontal="left" wrapText="1"/>
      <protection locked="0" hidden="0"/>
    </xf>
    <xf numFmtId="14" fontId="1" fillId="0" borderId="53" applyAlignment="1" applyProtection="1" pivotButton="0" quotePrefix="0" xfId="2">
      <alignment horizontal="center" wrapText="1"/>
      <protection locked="0" hidden="0"/>
    </xf>
    <xf numFmtId="0" fontId="0" fillId="0" borderId="132" pivotButton="0" quotePrefix="0" xfId="0"/>
    <xf numFmtId="0" fontId="0" fillId="0" borderId="133" pivotButton="0" quotePrefix="0" xfId="0"/>
    <xf numFmtId="0" fontId="0" fillId="0" borderId="10" pivotButton="0" quotePrefix="0" xfId="0"/>
    <xf numFmtId="0" fontId="0" fillId="0" borderId="9" pivotButton="0" quotePrefix="0" xfId="0"/>
    <xf numFmtId="0" fontId="0" fillId="0" borderId="128" pivotButton="0" quotePrefix="0" xfId="0"/>
    <xf numFmtId="0" fontId="0" fillId="0" borderId="135" pivotButton="0" quotePrefix="0" xfId="0"/>
    <xf numFmtId="0" fontId="0" fillId="0" borderId="134" pivotButton="0" quotePrefix="0" xfId="0"/>
    <xf numFmtId="0" fontId="0" fillId="0" borderId="53" pivotButton="0" quotePrefix="0" xfId="0"/>
    <xf numFmtId="0" fontId="0" fillId="0" borderId="129" pivotButton="0" quotePrefix="0" xfId="0"/>
    <xf numFmtId="0" fontId="0" fillId="0" borderId="136" pivotButton="0" quotePrefix="0" xfId="0"/>
    <xf numFmtId="0" fontId="0" fillId="0" borderId="137" pivotButton="0" quotePrefix="0" xfId="0"/>
    <xf numFmtId="0" fontId="0" fillId="0" borderId="138" pivotButton="0" quotePrefix="0" xfId="0"/>
    <xf numFmtId="0" fontId="0" fillId="0" borderId="141" pivotButton="0" quotePrefix="0" xfId="0"/>
    <xf numFmtId="0" fontId="0" fillId="0" borderId="142" pivotButton="0" quotePrefix="0" xfId="0"/>
    <xf numFmtId="0" fontId="0" fillId="0" borderId="22" pivotButton="0" quotePrefix="0" xfId="0"/>
    <xf numFmtId="0" fontId="1" fillId="0" borderId="139" applyAlignment="1" pivotButton="0" quotePrefix="0" xfId="2">
      <alignment horizontal="left" vertical="center"/>
    </xf>
    <xf numFmtId="0" fontId="0" fillId="0" borderId="20" pivotButton="0" quotePrefix="0" xfId="0"/>
    <xf numFmtId="0" fontId="4" fillId="0" borderId="140" applyAlignment="1" pivotButton="0" quotePrefix="0" xfId="2">
      <alignment horizontal="center" vertical="top"/>
    </xf>
    <xf numFmtId="0" fontId="0" fillId="0" borderId="121" pivotButton="0" quotePrefix="0" xfId="0"/>
    <xf numFmtId="0" fontId="0" fillId="0" borderId="21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4" pivotButton="0" quotePrefix="0" xfId="0"/>
    <xf numFmtId="0" fontId="0" fillId="0" borderId="42" pivotButton="0" quotePrefix="0" xfId="0"/>
    <xf numFmtId="0" fontId="0" fillId="0" borderId="104" pivotButton="0" quotePrefix="0" xfId="0"/>
    <xf numFmtId="166" fontId="2" fillId="0" borderId="79" applyAlignment="1" pivotButton="0" quotePrefix="0" xfId="2">
      <alignment horizontal="left" vertical="top" wrapText="1"/>
    </xf>
    <xf numFmtId="0" fontId="0" fillId="0" borderId="152" pivotButton="0" quotePrefix="0" xfId="0"/>
    <xf numFmtId="0" fontId="0" fillId="0" borderId="151" pivotButton="0" quotePrefix="0" xfId="0"/>
    <xf numFmtId="0" fontId="0" fillId="0" borderId="145" applyProtection="1" pivotButton="0" quotePrefix="0" xfId="0">
      <protection locked="0" hidden="0"/>
    </xf>
    <xf numFmtId="0" fontId="0" fillId="0" borderId="91" pivotButton="0" quotePrefix="0" xfId="0"/>
    <xf numFmtId="0" fontId="0" fillId="0" borderId="131" pivotButton="0" quotePrefix="0" xfId="0"/>
    <xf numFmtId="0" fontId="8" fillId="0" borderId="143" applyAlignment="1" pivotButton="0" quotePrefix="0" xfId="2">
      <alignment horizontal="center" vertical="center"/>
    </xf>
    <xf numFmtId="0" fontId="0" fillId="0" borderId="92" pivotButton="0" quotePrefix="0" xfId="0"/>
    <xf numFmtId="0" fontId="0" fillId="0" borderId="93" pivotButton="0" quotePrefix="0" xfId="0"/>
    <xf numFmtId="0" fontId="0" fillId="0" borderId="149" pivotButton="0" quotePrefix="0" xfId="0"/>
    <xf numFmtId="0" fontId="0" fillId="0" borderId="126" applyProtection="1" pivotButton="0" quotePrefix="0" xfId="0">
      <protection locked="0" hidden="0"/>
    </xf>
    <xf numFmtId="14" fontId="4" fillId="0" borderId="150" applyAlignment="1" applyProtection="1" pivotButton="0" quotePrefix="0" xfId="2">
      <alignment horizontal="center" wrapText="1"/>
      <protection locked="0" hidden="0"/>
    </xf>
    <xf numFmtId="0" fontId="0" fillId="0" borderId="91" applyProtection="1" pivotButton="0" quotePrefix="0" xfId="0">
      <protection locked="0" hidden="0"/>
    </xf>
    <xf numFmtId="0" fontId="0" fillId="0" borderId="147" applyProtection="1" pivotButton="0" quotePrefix="0" xfId="0">
      <protection locked="0" hidden="0"/>
    </xf>
    <xf numFmtId="0" fontId="0" fillId="0" borderId="148" applyProtection="1" pivotButton="0" quotePrefix="0" xfId="0">
      <protection locked="0" hidden="0"/>
    </xf>
    <xf numFmtId="0" fontId="0" fillId="0" borderId="127" applyProtection="1" pivotButton="0" quotePrefix="0" xfId="0">
      <protection locked="0" hidden="0"/>
    </xf>
    <xf numFmtId="0" fontId="0" fillId="0" borderId="114" applyProtection="1" pivotButton="0" quotePrefix="0" xfId="0">
      <protection locked="0" hidden="0"/>
    </xf>
    <xf numFmtId="165" fontId="5" fillId="0" borderId="23" applyAlignment="1" applyProtection="1" pivotButton="0" quotePrefix="0" xfId="1">
      <alignment horizontal="center" wrapText="1"/>
      <protection locked="0" hidden="0"/>
    </xf>
    <xf numFmtId="0" fontId="0" fillId="0" borderId="20" applyProtection="1" pivotButton="0" quotePrefix="0" xfId="0">
      <protection locked="0" hidden="0"/>
    </xf>
    <xf numFmtId="165" fontId="5" fillId="0" borderId="78" applyAlignment="1" applyProtection="1" pivotButton="0" quotePrefix="0" xfId="1">
      <alignment horizontal="center" wrapText="1"/>
      <protection locked="0" hidden="0"/>
    </xf>
    <xf numFmtId="165" fontId="5" fillId="0" borderId="24" applyAlignment="1" applyProtection="1" pivotButton="0" quotePrefix="0" xfId="1">
      <alignment horizontal="center" wrapText="1"/>
      <protection locked="0" hidden="0"/>
    </xf>
    <xf numFmtId="0" fontId="0" fillId="0" borderId="0" applyProtection="1" pivotButton="0" quotePrefix="0" xfId="0">
      <protection locked="0" hidden="0"/>
    </xf>
    <xf numFmtId="165" fontId="5" fillId="0" borderId="15" applyAlignment="1" pivotButton="0" quotePrefix="0" xfId="1">
      <alignment horizontal="center" wrapText="1"/>
    </xf>
    <xf numFmtId="0" fontId="0" fillId="0" borderId="105" pivotButton="0" quotePrefix="0" xfId="0"/>
    <xf numFmtId="0" fontId="0" fillId="0" borderId="117" pivotButton="0" quotePrefix="0" xfId="0"/>
    <xf numFmtId="0" fontId="0" fillId="0" borderId="19" applyProtection="1" pivotButton="0" quotePrefix="0" xfId="0">
      <protection locked="0" hidden="0"/>
    </xf>
    <xf numFmtId="0" fontId="0" fillId="0" borderId="130" pivotButton="0" quotePrefix="0" xfId="0"/>
    <xf numFmtId="0" fontId="0" fillId="0" borderId="5" pivotButton="0" quotePrefix="0" xfId="0"/>
    <xf numFmtId="0" fontId="0" fillId="0" borderId="146" pivotButton="0" quotePrefix="0" xfId="0"/>
    <xf numFmtId="0" fontId="0" fillId="0" borderId="24" applyProtection="1" pivotButton="0" quotePrefix="0" xfId="0">
      <protection locked="0" hidden="0"/>
    </xf>
    <xf numFmtId="0" fontId="0" fillId="0" borderId="127" pivotButton="0" quotePrefix="0" xfId="0"/>
    <xf numFmtId="0" fontId="0" fillId="0" borderId="116" pivotButton="0" quotePrefix="0" xfId="0"/>
    <xf numFmtId="0" fontId="0" fillId="0" borderId="114" pivotButton="0" quotePrefix="0" xfId="0"/>
    <xf numFmtId="165" fontId="5" fillId="0" borderId="1" applyAlignment="1" applyProtection="1" pivotButton="0" quotePrefix="0" xfId="1">
      <alignment horizontal="center" wrapText="1"/>
      <protection locked="0" hidden="0"/>
    </xf>
    <xf numFmtId="0" fontId="0" fillId="0" borderId="18" applyProtection="1" pivotButton="0" quotePrefix="0" xfId="0">
      <protection locked="0" hidden="0"/>
    </xf>
    <xf numFmtId="165" fontId="5" fillId="0" borderId="67" applyAlignment="1" applyProtection="1" pivotButton="0" quotePrefix="0" xfId="1">
      <alignment horizontal="center" wrapText="1"/>
      <protection locked="0" hidden="0"/>
    </xf>
    <xf numFmtId="165" fontId="5" fillId="0" borderId="2" applyAlignment="1" applyProtection="1" pivotButton="0" quotePrefix="0" xfId="1">
      <alignment horizontal="center" wrapText="1"/>
      <protection locked="0" hidden="0"/>
    </xf>
    <xf numFmtId="0" fontId="0" fillId="0" borderId="21" applyProtection="1" pivotButton="0" quotePrefix="0" xfId="0">
      <protection locked="0" hidden="0"/>
    </xf>
    <xf numFmtId="165" fontId="5" fillId="0" borderId="1" applyAlignment="1" applyProtection="1" pivotButton="0" quotePrefix="0" xfId="1">
      <alignment horizontal="right" wrapText="1"/>
      <protection locked="0" hidden="0"/>
    </xf>
    <xf numFmtId="165" fontId="5" fillId="0" borderId="67" applyAlignment="1" applyProtection="1" pivotButton="0" quotePrefix="0" xfId="1">
      <alignment horizontal="right" wrapText="1"/>
      <protection locked="0" hidden="0"/>
    </xf>
    <xf numFmtId="165" fontId="5" fillId="0" borderId="15" applyAlignment="1" pivotButton="0" quotePrefix="0" xfId="1">
      <alignment horizontal="right" wrapText="1"/>
    </xf>
    <xf numFmtId="0" fontId="0" fillId="0" borderId="113" pivotButton="0" quotePrefix="0" xfId="0"/>
    <xf numFmtId="0" fontId="0" fillId="0" borderId="162" pivotButton="0" quotePrefix="0" xfId="0"/>
    <xf numFmtId="0" fontId="0" fillId="0" borderId="23" pivotButton="0" quotePrefix="0" xfId="0"/>
    <xf numFmtId="0" fontId="2" fillId="0" borderId="158" applyAlignment="1" applyProtection="1" pivotButton="0" quotePrefix="0" xfId="2">
      <alignment horizontal="center" wrapText="1"/>
      <protection locked="0" hidden="0"/>
    </xf>
    <xf numFmtId="0" fontId="0" fillId="0" borderId="41" applyProtection="1" pivotButton="0" quotePrefix="0" xfId="0">
      <protection locked="0" hidden="0"/>
    </xf>
    <xf numFmtId="14" fontId="2" fillId="0" borderId="62" applyAlignment="1" pivotButton="0" quotePrefix="0" xfId="2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4" fontId="2" fillId="0" borderId="155" applyAlignment="1" applyProtection="1" pivotButton="0" quotePrefix="0" xfId="2">
      <alignment horizontal="center" wrapText="1"/>
      <protection locked="0" hidden="0"/>
    </xf>
    <xf numFmtId="0" fontId="0" fillId="0" borderId="37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4" fontId="5" fillId="0" borderId="153" applyAlignment="1" applyProtection="1" pivotButton="0" quotePrefix="0" xfId="2">
      <alignment horizontal="center" wrapText="1"/>
      <protection locked="0" hidden="0"/>
    </xf>
    <xf numFmtId="0" fontId="0" fillId="0" borderId="35" applyProtection="1" pivotButton="0" quotePrefix="0" xfId="0">
      <protection locked="0" hidden="0"/>
    </xf>
    <xf numFmtId="0" fontId="0" fillId="0" borderId="156" pivotButton="0" quotePrefix="0" xfId="0"/>
    <xf numFmtId="0" fontId="0" fillId="0" borderId="157" pivotButton="0" quotePrefix="0" xfId="0"/>
    <xf numFmtId="14" fontId="2" fillId="0" borderId="163" applyAlignment="1" applyProtection="1" pivotButton="0" quotePrefix="0" xfId="2">
      <alignment horizontal="center" wrapText="1"/>
      <protection locked="0" hidden="0"/>
    </xf>
    <xf numFmtId="0" fontId="0" fillId="0" borderId="109" applyProtection="1" pivotButton="0" quotePrefix="0" xfId="0">
      <protection locked="0" hidden="0"/>
    </xf>
    <xf numFmtId="0" fontId="2" fillId="0" borderId="160" applyAlignment="1" pivotButton="0" quotePrefix="0" xfId="2">
      <alignment horizontal="center" vertical="center" wrapText="1"/>
    </xf>
    <xf numFmtId="0" fontId="0" fillId="0" borderId="111" pivotButton="0" quotePrefix="0" xfId="0"/>
    <xf numFmtId="0" fontId="0" fillId="0" borderId="109" pivotButton="0" quotePrefix="0" xfId="0"/>
    <xf numFmtId="165" fontId="2" fillId="0" borderId="42" applyAlignment="1" pivotButton="0" quotePrefix="0" xfId="2">
      <alignment horizontal="center" vertical="center" wrapText="1"/>
    </xf>
    <xf numFmtId="0" fontId="0" fillId="0" borderId="1" applyProtection="1" pivotButton="0" quotePrefix="0" xfId="0">
      <protection locked="0" hidden="0"/>
    </xf>
    <xf numFmtId="0" fontId="2" fillId="0" borderId="67" applyAlignment="1" pivotButton="0" quotePrefix="0" xfId="2">
      <alignment horizontal="center" vertical="center" wrapText="1"/>
    </xf>
    <xf numFmtId="0" fontId="0" fillId="0" borderId="159" pivotButton="0" quotePrefix="0" xfId="0"/>
    <xf numFmtId="0" fontId="0" fillId="0" borderId="30" pivotButton="0" quotePrefix="0" xfId="0"/>
    <xf numFmtId="165" fontId="2" fillId="0" borderId="106" applyAlignment="1" pivotButton="0" quotePrefix="0" xfId="1">
      <alignment horizontal="center" vertical="center" wrapText="1"/>
    </xf>
    <xf numFmtId="0" fontId="0" fillId="0" borderId="164" pivotButton="0" quotePrefix="0" xfId="0"/>
    <xf numFmtId="0" fontId="0" fillId="0" borderId="166" pivotButton="0" quotePrefix="0" xfId="0"/>
    <xf numFmtId="0" fontId="2" fillId="0" borderId="68" applyAlignment="1" pivotButton="0" quotePrefix="0" xfId="2">
      <alignment horizontal="center" vertical="center" wrapText="1"/>
    </xf>
    <xf numFmtId="0" fontId="0" fillId="0" borderId="165" pivotButton="0" quotePrefix="0" xfId="0"/>
    <xf numFmtId="0" fontId="0" fillId="0" borderId="115" pivotButton="0" quotePrefix="0" xfId="0"/>
    <xf numFmtId="0" fontId="2" fillId="0" borderId="15" applyAlignment="1" pivotButton="0" quotePrefix="0" xfId="2">
      <alignment horizontal="center" vertical="top" wrapText="1"/>
    </xf>
    <xf numFmtId="164" fontId="5" fillId="0" borderId="114" applyAlignment="1" pivotButton="0" quotePrefix="0" xfId="2">
      <alignment wrapText="1"/>
    </xf>
    <xf numFmtId="164" fontId="5" fillId="0" borderId="115" applyAlignment="1" pivotButton="0" quotePrefix="0" xfId="2">
      <alignment horizontal="center" wrapText="1"/>
    </xf>
    <xf numFmtId="164" fontId="5" fillId="0" borderId="15" applyAlignment="1" applyProtection="1" pivotButton="0" quotePrefix="0" xfId="2">
      <alignment horizontal="center" wrapText="1"/>
      <protection locked="0" hidden="0"/>
    </xf>
    <xf numFmtId="0" fontId="0" fillId="0" borderId="113" applyProtection="1" pivotButton="0" quotePrefix="0" xfId="0">
      <protection locked="0" hidden="0"/>
    </xf>
    <xf numFmtId="0" fontId="0" fillId="0" borderId="115" applyProtection="1" pivotButton="0" quotePrefix="0" xfId="0">
      <protection locked="0" hidden="0"/>
    </xf>
    <xf numFmtId="164" fontId="5" fillId="0" borderId="10" applyAlignment="1" pivotButton="0" quotePrefix="0" xfId="2">
      <alignment horizontal="center" wrapText="1"/>
    </xf>
    <xf numFmtId="0" fontId="0" fillId="0" borderId="53" applyProtection="1" pivotButton="0" quotePrefix="0" xfId="0">
      <protection locked="0" hidden="0"/>
    </xf>
    <xf numFmtId="0" fontId="0" fillId="0" borderId="44" pivotButton="0" quotePrefix="0" xfId="0"/>
  </cellXfs>
  <cellStyles count="3">
    <cellStyle name="Normal" xfId="0" builtinId="0"/>
    <cellStyle name="Moeda" xfId="1" builtinId="4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66675</rowOff>
    </from>
    <to>
      <col>6</col>
      <colOff>278765</colOff>
      <row>4</row>
      <rowOff>171450</rowOff>
    </to>
    <pic>
      <nvPicPr>
        <cNvPr id="3296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9550" y="238125"/>
          <a:ext cx="2286000" cy="5619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5</col>
      <colOff>25400</colOff>
      <row>65</row>
      <rowOff>95250</rowOff>
    </from>
    <to>
      <col>10</col>
      <colOff>457200</colOff>
      <row>68</row>
      <rowOff>122256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7550" y="9080500"/>
          <a:ext cx="2330450" cy="5127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Z70"/>
  <sheetViews>
    <sheetView showGridLines="0" tabSelected="1" zoomScaleNormal="100" workbookViewId="0">
      <selection activeCell="C67" sqref="C67:D69"/>
    </sheetView>
  </sheetViews>
  <sheetFormatPr baseColWidth="8" defaultColWidth="9" defaultRowHeight="12.5"/>
  <cols>
    <col width="2.453125" customWidth="1" style="1" min="1" max="1"/>
    <col width="4.36328125" customWidth="1" style="1" min="2" max="2"/>
    <col width="9.36328125" customWidth="1" style="1" min="3" max="3"/>
    <col width="4.36328125" customWidth="1" style="1" min="4" max="4"/>
    <col width="7.54296875" customWidth="1" style="1" min="5" max="5"/>
    <col width="5.453125" customWidth="1" style="1" min="6" max="6"/>
    <col width="6.36328125" customWidth="1" style="1" min="7" max="7"/>
    <col width="5.6328125" customWidth="1" style="1" min="8" max="8"/>
    <col width="5.08984375" customWidth="1" style="1" min="9" max="9"/>
    <col width="4.6328125" customWidth="1" style="1" min="10" max="10"/>
    <col width="7.54296875" customWidth="1" style="1" min="11" max="11"/>
    <col width="5.08984375" customWidth="1" style="1" min="12" max="12"/>
    <col width="7.36328125" customWidth="1" style="1" min="13" max="13"/>
    <col width="5.90625" customWidth="1" style="1" min="14" max="14"/>
    <col width="4.54296875" customWidth="1" style="1" min="15" max="15"/>
    <col width="4.90625" customWidth="1" style="1" min="16" max="16"/>
    <col width="5.1796875" customWidth="1" style="1" min="17" max="17"/>
    <col width="4.36328125" customWidth="1" style="1" min="18" max="18"/>
    <col width="5.1796875" customWidth="1" style="1" min="19" max="19"/>
    <col width="2" customWidth="1" style="1" min="20" max="20"/>
    <col width="1.54296875" customWidth="1" style="1" min="21" max="21"/>
    <col width="2.36328125" customWidth="1" style="1" min="22" max="22"/>
    <col width="1.36328125" customWidth="1" style="1" min="23" max="23"/>
    <col width="4.08984375" customWidth="1" style="1" min="24" max="24"/>
    <col width="5.54296875" customWidth="1" style="1" min="25" max="25"/>
    <col width="9.08984375" customWidth="1" style="1" min="26" max="26"/>
    <col width="9" customWidth="1" style="1" min="27" max="27"/>
    <col width="7.453125" bestFit="1" customWidth="1" style="1" min="28" max="28"/>
    <col width="12.90625" bestFit="1" customWidth="1" style="1" min="29" max="29"/>
    <col width="9" customWidth="1" style="1" min="30" max="30"/>
    <col width="9.08984375" customWidth="1" style="1" min="31" max="136"/>
    <col width="9" customWidth="1" style="1" min="137" max="16384"/>
  </cols>
  <sheetData>
    <row r="1" ht="13" customHeight="1" thickBot="1"/>
    <row r="2" ht="10.5" customHeight="1">
      <c r="A2" s="81" t="inlineStr">
        <is>
          <t>003 - Rev. 1 - Jul / 2017 - PC</t>
        </is>
      </c>
      <c r="B2" s="176" t="n"/>
      <c r="C2" s="214" t="n"/>
      <c r="D2" s="214" t="n"/>
      <c r="E2" s="214" t="n"/>
      <c r="F2" s="214" t="n"/>
      <c r="G2" s="215" t="n"/>
      <c r="H2" s="179" t="inlineStr">
        <is>
          <t>Relatório de Despesas</t>
        </is>
      </c>
      <c r="I2" s="214" t="n"/>
      <c r="J2" s="214" t="n"/>
      <c r="K2" s="214" t="n"/>
      <c r="L2" s="214" t="n"/>
      <c r="M2" s="214" t="n"/>
      <c r="N2" s="214" t="n"/>
      <c r="O2" s="214" t="n"/>
      <c r="P2" s="214" t="n"/>
      <c r="Q2" s="214" t="n"/>
      <c r="R2" s="214" t="n"/>
      <c r="S2" s="214" t="n"/>
      <c r="T2" s="214" t="n"/>
      <c r="U2" s="214" t="n"/>
      <c r="V2" s="214" t="n"/>
      <c r="W2" s="214" t="n"/>
      <c r="X2" s="214" t="n"/>
      <c r="Y2" s="215" t="n"/>
    </row>
    <row r="3" ht="15" customHeight="1">
      <c r="A3" s="216" t="n"/>
      <c r="B3" s="217" t="n"/>
      <c r="G3" s="218" t="n"/>
      <c r="H3" s="219" t="n"/>
      <c r="Y3" s="218" t="n"/>
    </row>
    <row r="4" ht="10.5" customHeight="1">
      <c r="A4" s="216" t="n"/>
      <c r="B4" s="217" t="n"/>
      <c r="G4" s="218" t="n"/>
      <c r="H4" s="219" t="n"/>
      <c r="Y4" s="218" t="n"/>
    </row>
    <row r="5" ht="15" customHeight="1">
      <c r="A5" s="216" t="n"/>
      <c r="B5" s="220" t="n"/>
      <c r="C5" s="221" t="n"/>
      <c r="D5" s="221" t="n"/>
      <c r="E5" s="221" t="n"/>
      <c r="F5" s="221" t="n"/>
      <c r="G5" s="222" t="n"/>
      <c r="H5" s="223" t="n"/>
      <c r="I5" s="221" t="n"/>
      <c r="J5" s="221" t="n"/>
      <c r="K5" s="221" t="n"/>
      <c r="L5" s="221" t="n"/>
      <c r="M5" s="221" t="n"/>
      <c r="N5" s="221" t="n"/>
      <c r="O5" s="221" t="n"/>
      <c r="P5" s="221" t="n"/>
      <c r="Q5" s="221" t="n"/>
      <c r="R5" s="221" t="n"/>
      <c r="S5" s="221" t="n"/>
      <c r="T5" s="221" t="n"/>
      <c r="U5" s="221" t="n"/>
      <c r="V5" s="221" t="n"/>
      <c r="W5" s="221" t="n"/>
      <c r="X5" s="221" t="n"/>
      <c r="Y5" s="222" t="n"/>
    </row>
    <row r="6" ht="10.25" customHeight="1">
      <c r="A6" s="216" t="n"/>
      <c r="B6" s="153" t="inlineStr">
        <is>
          <t>DADOS PESSOAIS</t>
        </is>
      </c>
      <c r="C6" s="224" t="n"/>
      <c r="D6" s="224" t="n"/>
      <c r="E6" s="224" t="n"/>
      <c r="F6" s="224" t="n"/>
      <c r="G6" s="224" t="n"/>
      <c r="H6" s="224" t="n"/>
      <c r="I6" s="224" t="n"/>
      <c r="J6" s="224" t="n"/>
      <c r="K6" s="224" t="n"/>
      <c r="L6" s="224" t="n"/>
      <c r="M6" s="224" t="n"/>
      <c r="N6" s="224" t="n"/>
      <c r="O6" s="224" t="n"/>
      <c r="P6" s="224" t="n"/>
      <c r="Q6" s="224" t="n"/>
      <c r="R6" s="224" t="n"/>
      <c r="S6" s="224" t="n"/>
      <c r="T6" s="224" t="n"/>
      <c r="U6" s="224" t="n"/>
      <c r="V6" s="224" t="n"/>
      <c r="W6" s="224" t="n"/>
      <c r="X6" s="224" t="n"/>
      <c r="Y6" s="225" t="n"/>
    </row>
    <row r="7" ht="10.5" customHeight="1">
      <c r="A7" s="216" t="n"/>
      <c r="B7" s="183" t="inlineStr">
        <is>
          <t>Nome:</t>
        </is>
      </c>
      <c r="I7" s="187" t="inlineStr">
        <is>
          <t>CPF:</t>
        </is>
      </c>
      <c r="O7" s="204" t="inlineStr">
        <is>
          <t>Campos de responsabilidade do Financeiro</t>
        </is>
      </c>
      <c r="P7" s="226" t="n"/>
      <c r="Q7" s="226" t="n"/>
      <c r="R7" s="226" t="n"/>
      <c r="S7" s="226" t="n"/>
      <c r="T7" s="226" t="n"/>
      <c r="U7" s="226" t="n"/>
      <c r="V7" s="226" t="n"/>
      <c r="W7" s="226" t="n"/>
      <c r="X7" s="226" t="n"/>
      <c r="Y7" s="227" t="n"/>
      <c r="Z7" s="8" t="n"/>
    </row>
    <row r="8" ht="15" customHeight="1">
      <c r="A8" s="216" t="n"/>
      <c r="B8" s="192" t="n"/>
      <c r="C8" s="228" t="n"/>
      <c r="D8" s="228" t="n"/>
      <c r="E8" s="228" t="n"/>
      <c r="F8" s="228" t="n"/>
      <c r="G8" s="228" t="n"/>
      <c r="H8" s="228" t="n"/>
      <c r="I8" s="229" t="n"/>
      <c r="N8" s="230" t="n"/>
      <c r="O8" s="231" t="inlineStr">
        <is>
          <t>RD Nº:</t>
        </is>
      </c>
      <c r="R8" s="232" t="n"/>
      <c r="S8" s="203" t="inlineStr">
        <is>
          <t>Vencimento:</t>
        </is>
      </c>
      <c r="Y8" s="216" t="n"/>
      <c r="Z8" s="2" t="n"/>
    </row>
    <row r="9" ht="10.5" customHeight="1">
      <c r="A9" s="216" t="n"/>
      <c r="B9" s="145" t="inlineStr">
        <is>
          <t>Centro de Custo:</t>
        </is>
      </c>
      <c r="C9" s="233" t="n"/>
      <c r="D9" s="234" t="n"/>
      <c r="E9" s="133" t="inlineStr">
        <is>
          <t>Data de Saída Realizada:</t>
        </is>
      </c>
      <c r="F9" s="233" t="n"/>
      <c r="G9" s="233" t="n"/>
      <c r="H9" s="234" t="n"/>
      <c r="I9" s="133" t="inlineStr">
        <is>
          <t>Data de Chegada Realizada:</t>
        </is>
      </c>
      <c r="J9" s="233" t="n"/>
      <c r="K9" s="233" t="n"/>
      <c r="L9" s="233" t="n"/>
      <c r="M9" s="233" t="n"/>
      <c r="N9" s="234" t="n"/>
      <c r="O9" s="235" t="n"/>
      <c r="R9" s="232" t="n"/>
      <c r="Y9" s="216" t="n"/>
    </row>
    <row r="10" ht="15" customHeight="1">
      <c r="A10" s="216" t="n"/>
      <c r="B10" s="208" t="n"/>
      <c r="D10" s="230" t="n"/>
      <c r="E10" s="207" t="n">
        <v>46084</v>
      </c>
      <c r="F10" s="236" t="n"/>
      <c r="G10" s="236" t="n"/>
      <c r="H10" s="237" t="n"/>
      <c r="I10" s="207" t="n">
        <v>46088</v>
      </c>
      <c r="J10" s="236" t="n"/>
      <c r="K10" s="236" t="n"/>
      <c r="L10" s="236" t="n"/>
      <c r="M10" s="236" t="n"/>
      <c r="N10" s="237" t="n"/>
      <c r="O10" s="238" t="n"/>
      <c r="P10" s="228" t="n"/>
      <c r="Q10" s="228" t="n"/>
      <c r="R10" s="239" t="n"/>
      <c r="S10" s="228" t="n"/>
      <c r="T10" s="228" t="n"/>
      <c r="U10" s="228" t="n"/>
      <c r="V10" s="228" t="n"/>
      <c r="W10" s="228" t="n"/>
      <c r="X10" s="228" t="n"/>
      <c r="Y10" s="240" t="n"/>
    </row>
    <row r="11" ht="10.5" customHeight="1">
      <c r="A11" s="216" t="n"/>
      <c r="B11" s="145" t="inlineStr">
        <is>
          <t>Banco</t>
        </is>
      </c>
      <c r="C11" s="233" t="n"/>
      <c r="D11" s="233" t="n"/>
      <c r="E11" s="233" t="n"/>
      <c r="F11" s="233" t="n"/>
      <c r="G11" s="233" t="n"/>
      <c r="H11" s="233" t="n"/>
      <c r="I11" s="233" t="n"/>
      <c r="J11" s="234" t="n"/>
      <c r="K11" s="133" t="inlineStr">
        <is>
          <t>Agência</t>
        </is>
      </c>
      <c r="L11" s="233" t="n"/>
      <c r="M11" s="233" t="n"/>
      <c r="N11" s="233" t="n"/>
      <c r="O11" s="234" t="n"/>
      <c r="P11" s="241" t="inlineStr">
        <is>
          <t>Conta Corrente</t>
        </is>
      </c>
      <c r="Q11" s="233" t="n"/>
      <c r="R11" s="233" t="n"/>
      <c r="S11" s="233" t="n"/>
      <c r="T11" s="233" t="n"/>
      <c r="U11" s="233" t="n"/>
      <c r="V11" s="233" t="n"/>
      <c r="W11" s="233" t="n"/>
      <c r="X11" s="233" t="n"/>
      <c r="Y11" s="242" t="n"/>
    </row>
    <row r="12" ht="15" customHeight="1">
      <c r="A12" s="216" t="n"/>
      <c r="B12" s="174" t="n"/>
      <c r="C12" s="221" t="n"/>
      <c r="D12" s="221" t="n"/>
      <c r="E12" s="221" t="n"/>
      <c r="F12" s="221" t="n"/>
      <c r="G12" s="221" t="n"/>
      <c r="H12" s="221" t="n"/>
      <c r="I12" s="221" t="n"/>
      <c r="J12" s="243" t="n"/>
      <c r="K12" s="173" t="n"/>
      <c r="L12" s="221" t="n"/>
      <c r="M12" s="221" t="n"/>
      <c r="N12" s="221" t="n"/>
      <c r="O12" s="243" t="n"/>
      <c r="P12" s="151" t="n"/>
      <c r="Q12" s="221" t="n"/>
      <c r="R12" s="221" t="n"/>
      <c r="S12" s="221" t="n"/>
      <c r="T12" s="221" t="n"/>
      <c r="U12" s="221" t="n"/>
      <c r="V12" s="221" t="n"/>
      <c r="W12" s="221" t="n"/>
      <c r="X12" s="221" t="n"/>
      <c r="Y12" s="222" t="n"/>
    </row>
    <row r="13" ht="10.5" customHeight="1">
      <c r="A13" s="216" t="n"/>
      <c r="B13" s="153" t="inlineStr">
        <is>
          <t xml:space="preserve">MOTIVO </t>
        </is>
      </c>
      <c r="C13" s="224" t="n"/>
      <c r="D13" s="224" t="n"/>
      <c r="E13" s="224" t="n"/>
      <c r="F13" s="224" t="n"/>
      <c r="G13" s="224" t="n"/>
      <c r="H13" s="224" t="n"/>
      <c r="I13" s="224" t="n"/>
      <c r="J13" s="224" t="n"/>
      <c r="K13" s="224" t="n"/>
      <c r="L13" s="224" t="n"/>
      <c r="M13" s="224" t="n"/>
      <c r="N13" s="224" t="n"/>
      <c r="O13" s="224" t="n"/>
      <c r="P13" s="224" t="n"/>
      <c r="Q13" s="224" t="n"/>
      <c r="R13" s="224" t="n"/>
      <c r="S13" s="224" t="n"/>
      <c r="T13" s="224" t="n"/>
      <c r="U13" s="224" t="n"/>
      <c r="V13" s="224" t="n"/>
      <c r="W13" s="224" t="n"/>
      <c r="X13" s="224" t="n"/>
      <c r="Y13" s="225" t="n"/>
    </row>
    <row r="14" ht="12.75" customHeight="1">
      <c r="A14" s="216" t="n"/>
      <c r="B14" s="156" t="inlineStr">
        <is>
          <t>Suporte ISO31OFP  - Herbicat - Bauru/SP</t>
        </is>
      </c>
      <c r="C14" s="236" t="n"/>
      <c r="D14" s="236" t="n"/>
      <c r="E14" s="236" t="n"/>
      <c r="F14" s="236" t="n"/>
      <c r="G14" s="236" t="n"/>
      <c r="H14" s="236" t="n"/>
      <c r="I14" s="236" t="n"/>
      <c r="J14" s="236" t="n"/>
      <c r="K14" s="236" t="n"/>
      <c r="L14" s="236" t="n"/>
      <c r="M14" s="236" t="n"/>
      <c r="N14" s="236" t="n"/>
      <c r="O14" s="236" t="n"/>
      <c r="P14" s="236" t="n"/>
      <c r="Q14" s="236" t="n"/>
      <c r="R14" s="236" t="n"/>
      <c r="S14" s="236" t="n"/>
      <c r="T14" s="236" t="n"/>
      <c r="U14" s="236" t="n"/>
      <c r="V14" s="236" t="n"/>
      <c r="W14" s="236" t="n"/>
      <c r="X14" s="236" t="n"/>
      <c r="Y14" s="244" t="n"/>
    </row>
    <row r="15" ht="15" customHeight="1">
      <c r="A15" s="216" t="n"/>
      <c r="B15" s="156" t="n"/>
      <c r="C15" s="236" t="n"/>
      <c r="D15" s="236" t="n"/>
      <c r="E15" s="236" t="n"/>
      <c r="F15" s="236" t="n"/>
      <c r="G15" s="236" t="n"/>
      <c r="H15" s="236" t="n"/>
      <c r="I15" s="236" t="n"/>
      <c r="J15" s="236" t="n"/>
      <c r="K15" s="236" t="n"/>
      <c r="L15" s="236" t="n"/>
      <c r="M15" s="236" t="n"/>
      <c r="N15" s="236" t="n"/>
      <c r="O15" s="236" t="n"/>
      <c r="P15" s="236" t="n"/>
      <c r="Q15" s="236" t="n"/>
      <c r="R15" s="236" t="n"/>
      <c r="S15" s="236" t="n"/>
      <c r="T15" s="236" t="n"/>
      <c r="U15" s="236" t="n"/>
      <c r="V15" s="236" t="n"/>
      <c r="W15" s="236" t="n"/>
      <c r="X15" s="236" t="n"/>
      <c r="Y15" s="244" t="n"/>
    </row>
    <row r="16" ht="15" customHeight="1">
      <c r="A16" s="216" t="n"/>
      <c r="B16" s="156" t="n"/>
      <c r="C16" s="236" t="n"/>
      <c r="D16" s="236" t="n"/>
      <c r="E16" s="236" t="n"/>
      <c r="F16" s="236" t="n"/>
      <c r="G16" s="236" t="n"/>
      <c r="H16" s="236" t="n"/>
      <c r="I16" s="236" t="n"/>
      <c r="J16" s="236" t="n"/>
      <c r="K16" s="236" t="n"/>
      <c r="L16" s="236" t="n"/>
      <c r="M16" s="236" t="n"/>
      <c r="N16" s="236" t="n"/>
      <c r="O16" s="236" t="n"/>
      <c r="P16" s="236" t="n"/>
      <c r="Q16" s="236" t="n"/>
      <c r="R16" s="236" t="n"/>
      <c r="S16" s="236" t="n"/>
      <c r="T16" s="236" t="n"/>
      <c r="U16" s="236" t="n"/>
      <c r="V16" s="236" t="n"/>
      <c r="W16" s="236" t="n"/>
      <c r="X16" s="236" t="n"/>
      <c r="Y16" s="244" t="n"/>
    </row>
    <row r="17" ht="14.25" customHeight="1">
      <c r="A17" s="216" t="n"/>
      <c r="B17" s="134" t="inlineStr">
        <is>
          <t>PRESTAÇÃO DE CONTAS (R$)</t>
        </is>
      </c>
      <c r="C17" s="245" t="n"/>
      <c r="D17" s="245" t="n"/>
      <c r="E17" s="245" t="n"/>
      <c r="F17" s="245" t="n"/>
      <c r="G17" s="245" t="n"/>
      <c r="H17" s="245" t="n"/>
      <c r="I17" s="245" t="n"/>
      <c r="J17" s="245" t="n"/>
      <c r="K17" s="245" t="n"/>
      <c r="L17" s="245" t="n"/>
      <c r="M17" s="245" t="n"/>
      <c r="N17" s="245" t="n"/>
      <c r="O17" s="245" t="n"/>
      <c r="P17" s="245" t="n"/>
      <c r="Q17" s="245" t="n"/>
      <c r="R17" s="245" t="n"/>
      <c r="S17" s="245" t="n"/>
      <c r="T17" s="245" t="n"/>
      <c r="U17" s="245" t="n"/>
      <c r="V17" s="245" t="n"/>
      <c r="W17" s="245" t="n"/>
      <c r="X17" s="245" t="n"/>
      <c r="Y17" s="246" t="n"/>
    </row>
    <row r="18" ht="14.25" customHeight="1">
      <c r="A18" s="216" t="n"/>
      <c r="B18" s="247" t="inlineStr">
        <is>
          <t>*Valores Faturados em Nome do Funcionário*</t>
        </is>
      </c>
      <c r="C18" s="248" t="n"/>
      <c r="D18" s="248" t="n"/>
      <c r="E18" s="248" t="n"/>
      <c r="F18" s="248" t="n"/>
      <c r="G18" s="248" t="n"/>
      <c r="H18" s="248" t="n"/>
      <c r="I18" s="248" t="n"/>
      <c r="J18" s="248" t="n"/>
      <c r="K18" s="248" t="n"/>
      <c r="L18" s="248" t="n"/>
      <c r="M18" s="248" t="n"/>
      <c r="N18" s="248" t="n"/>
      <c r="O18" s="248" t="n"/>
      <c r="P18" s="248" t="n"/>
      <c r="Q18" s="248" t="n"/>
      <c r="R18" s="248" t="n"/>
      <c r="S18" s="248" t="n"/>
      <c r="T18" s="248" t="n"/>
      <c r="U18" s="248" t="n"/>
      <c r="V18" s="248" t="n"/>
      <c r="W18" s="248" t="n"/>
      <c r="X18" s="248" t="n"/>
      <c r="Y18" s="249" t="n"/>
    </row>
    <row r="19" ht="10.5" customHeight="1">
      <c r="A19" s="216" t="n"/>
      <c r="B19" s="163" t="inlineStr">
        <is>
          <t>Data</t>
        </is>
      </c>
      <c r="C19" s="250" t="n"/>
      <c r="D19" s="161" t="n">
        <v>46084</v>
      </c>
      <c r="E19" s="251" t="n"/>
      <c r="F19" s="161" t="n">
        <v>46085</v>
      </c>
      <c r="G19" s="251" t="n"/>
      <c r="H19" s="161" t="n">
        <v>46086</v>
      </c>
      <c r="I19" s="251" t="n"/>
      <c r="J19" s="161" t="n">
        <v>46087</v>
      </c>
      <c r="K19" s="251" t="n"/>
      <c r="L19" s="161" t="n">
        <v>46088</v>
      </c>
      <c r="M19" s="251" t="n"/>
      <c r="N19" s="161" t="n"/>
      <c r="O19" s="251" t="n"/>
      <c r="P19" s="161" t="n"/>
      <c r="Q19" s="251" t="n"/>
      <c r="R19" s="252" t="n"/>
      <c r="S19" s="251" t="n"/>
      <c r="T19" s="169" t="inlineStr">
        <is>
          <t>Total</t>
        </is>
      </c>
      <c r="U19" s="253" t="n"/>
      <c r="V19" s="253" t="n"/>
      <c r="W19" s="253" t="n"/>
      <c r="X19" s="253" t="n"/>
      <c r="Y19" s="251" t="n"/>
    </row>
    <row r="20" ht="9.75" customHeight="1">
      <c r="A20" s="216" t="n"/>
      <c r="B20" s="7" t="inlineStr">
        <is>
          <t>Descrição</t>
        </is>
      </c>
      <c r="C20" s="5" t="n"/>
      <c r="D20" s="254" t="n"/>
      <c r="E20" s="255" t="n"/>
      <c r="F20" s="254" t="n"/>
      <c r="G20" s="255" t="n"/>
      <c r="H20" s="254" t="n"/>
      <c r="I20" s="255" t="n"/>
      <c r="J20" s="254" t="n"/>
      <c r="K20" s="255" t="n"/>
      <c r="L20" s="254" t="n"/>
      <c r="M20" s="255" t="n"/>
      <c r="N20" s="254" t="n"/>
      <c r="O20" s="255" t="n"/>
      <c r="P20" s="254" t="n"/>
      <c r="Q20" s="255" t="n"/>
      <c r="R20" s="256" t="n"/>
      <c r="S20" s="257" t="n"/>
      <c r="T20" s="254" t="n"/>
      <c r="U20" s="236" t="n"/>
      <c r="V20" s="236" t="n"/>
      <c r="W20" s="236" t="n"/>
      <c r="X20" s="236" t="n"/>
      <c r="Y20" s="255" t="n"/>
    </row>
    <row r="21" ht="8.15" customHeight="1">
      <c r="A21" s="216" t="n"/>
      <c r="B21" s="141" t="inlineStr">
        <is>
          <t>Hospedagem</t>
        </is>
      </c>
      <c r="C21" s="250" t="n"/>
      <c r="D21" s="258" t="n"/>
      <c r="E21" s="259" t="n"/>
      <c r="F21" s="260" t="n"/>
      <c r="G21" s="259" t="n"/>
      <c r="H21" s="260" t="n"/>
      <c r="I21" s="259" t="n"/>
      <c r="J21" s="260" t="n"/>
      <c r="K21" s="259" t="n"/>
      <c r="L21" s="260">
        <f>800</f>
        <v/>
      </c>
      <c r="M21" s="259" t="n"/>
      <c r="N21" s="260" t="n"/>
      <c r="O21" s="259" t="n"/>
      <c r="P21" s="260" t="n"/>
      <c r="Q21" s="259" t="n"/>
      <c r="R21" s="261" t="n"/>
      <c r="S21" s="262" t="n"/>
      <c r="T21" s="263">
        <f>IF(SUM(D21:S23)=0,"",SUM(D21:S23))</f>
        <v/>
      </c>
      <c r="U21" s="264" t="n"/>
      <c r="V21" s="264" t="n"/>
      <c r="W21" s="264" t="n"/>
      <c r="X21" s="264" t="n"/>
      <c r="Y21" s="265" t="n"/>
    </row>
    <row r="22" ht="3" customHeight="1">
      <c r="A22" s="216" t="n"/>
      <c r="B22" s="217" t="n"/>
      <c r="C22" s="218" t="n"/>
      <c r="D22" s="262" t="n"/>
      <c r="E22" s="259" t="n"/>
      <c r="F22" s="266" t="n"/>
      <c r="G22" s="259" t="n"/>
      <c r="H22" s="266" t="n"/>
      <c r="I22" s="259" t="n"/>
      <c r="J22" s="266" t="n"/>
      <c r="K22" s="259" t="n"/>
      <c r="L22" s="266" t="n"/>
      <c r="M22" s="259" t="n"/>
      <c r="N22" s="266" t="n"/>
      <c r="O22" s="259" t="n"/>
      <c r="P22" s="266" t="n"/>
      <c r="Q22" s="259" t="n"/>
      <c r="R22" s="266" t="n"/>
      <c r="S22" s="262" t="n"/>
      <c r="T22" s="267" t="n"/>
      <c r="Y22" s="268" t="n"/>
    </row>
    <row r="23" ht="10.5" customHeight="1">
      <c r="A23" s="216" t="n"/>
      <c r="B23" s="159" t="inlineStr">
        <is>
          <t>(5110200874408)</t>
        </is>
      </c>
      <c r="C23" s="269" t="n"/>
      <c r="D23" s="236" t="n"/>
      <c r="E23" s="237" t="n"/>
      <c r="F23" s="270" t="n"/>
      <c r="G23" s="237" t="n"/>
      <c r="H23" s="270" t="n"/>
      <c r="I23" s="237" t="n"/>
      <c r="J23" s="270" t="n"/>
      <c r="K23" s="237" t="n"/>
      <c r="L23" s="270" t="n"/>
      <c r="M23" s="237" t="n"/>
      <c r="N23" s="270" t="n"/>
      <c r="O23" s="237" t="n"/>
      <c r="P23" s="270" t="n"/>
      <c r="Q23" s="237" t="n"/>
      <c r="R23" s="270" t="n"/>
      <c r="S23" s="236" t="n"/>
      <c r="T23" s="271" t="n"/>
      <c r="U23" s="272" t="n"/>
      <c r="V23" s="272" t="n"/>
      <c r="W23" s="272" t="n"/>
      <c r="X23" s="272" t="n"/>
      <c r="Y23" s="273" t="n"/>
    </row>
    <row r="24" ht="8.15" customHeight="1">
      <c r="A24" s="216" t="n"/>
      <c r="B24" s="139" t="inlineStr">
        <is>
          <t>Refeições</t>
        </is>
      </c>
      <c r="C24" s="250" t="n"/>
      <c r="D24" s="274">
        <f>24+48.5</f>
        <v/>
      </c>
      <c r="E24" s="275" t="n"/>
      <c r="F24" s="274">
        <f>66.5</f>
        <v/>
      </c>
      <c r="G24" s="275" t="n"/>
      <c r="H24" s="276">
        <f>71.5</f>
        <v/>
      </c>
      <c r="I24" s="275" t="n"/>
      <c r="J24" s="276">
        <f>71.5</f>
        <v/>
      </c>
      <c r="K24" s="275" t="n"/>
      <c r="L24" s="276">
        <f>90</f>
        <v/>
      </c>
      <c r="M24" s="275" t="n"/>
      <c r="N24" s="276" t="n"/>
      <c r="O24" s="275" t="n"/>
      <c r="P24" s="276" t="n"/>
      <c r="Q24" s="275" t="n"/>
      <c r="R24" s="277" t="n"/>
      <c r="S24" s="278" t="n"/>
      <c r="T24" s="263">
        <f>IF(SUM(D24:S26)=0,"",SUM(D24:S26))</f>
        <v/>
      </c>
      <c r="U24" s="264" t="n"/>
      <c r="V24" s="264" t="n"/>
      <c r="W24" s="264" t="n"/>
      <c r="X24" s="264" t="n"/>
      <c r="Y24" s="265" t="n"/>
    </row>
    <row r="25" ht="8.15" customHeight="1">
      <c r="A25" s="216" t="n"/>
      <c r="B25" s="217" t="n"/>
      <c r="C25" s="218" t="n"/>
      <c r="D25" s="262" t="n"/>
      <c r="E25" s="259" t="n"/>
      <c r="F25" s="262" t="n"/>
      <c r="G25" s="259" t="n"/>
      <c r="H25" s="266" t="n"/>
      <c r="I25" s="259" t="n"/>
      <c r="J25" s="266" t="n"/>
      <c r="K25" s="259" t="n"/>
      <c r="L25" s="266" t="n"/>
      <c r="M25" s="259" t="n"/>
      <c r="N25" s="266" t="n"/>
      <c r="O25" s="259" t="n"/>
      <c r="P25" s="266" t="n"/>
      <c r="Q25" s="259" t="n"/>
      <c r="R25" s="266" t="n"/>
      <c r="S25" s="262" t="n"/>
      <c r="T25" s="267" t="n"/>
      <c r="Y25" s="268" t="n"/>
    </row>
    <row r="26" ht="10.5" customFormat="1" customHeight="1" s="4">
      <c r="A26" s="216" t="n"/>
      <c r="B26" s="131" t="inlineStr">
        <is>
          <t>(5110200874408)</t>
        </is>
      </c>
      <c r="C26" s="222" t="n"/>
      <c r="D26" s="236" t="n"/>
      <c r="E26" s="237" t="n"/>
      <c r="F26" s="236" t="n"/>
      <c r="G26" s="237" t="n"/>
      <c r="H26" s="270" t="n"/>
      <c r="I26" s="237" t="n"/>
      <c r="J26" s="270" t="n"/>
      <c r="K26" s="237" t="n"/>
      <c r="L26" s="270" t="n"/>
      <c r="M26" s="237" t="n"/>
      <c r="N26" s="270" t="n"/>
      <c r="O26" s="237" t="n"/>
      <c r="P26" s="270" t="n"/>
      <c r="Q26" s="237" t="n"/>
      <c r="R26" s="270" t="n"/>
      <c r="S26" s="236" t="n"/>
      <c r="T26" s="271" t="n"/>
      <c r="U26" s="272" t="n"/>
      <c r="V26" s="272" t="n"/>
      <c r="W26" s="272" t="n"/>
      <c r="X26" s="272" t="n"/>
      <c r="Y26" s="273" t="n"/>
    </row>
    <row r="27" ht="8.15" customHeight="1">
      <c r="A27" s="216" t="n"/>
      <c r="B27" s="121" t="inlineStr">
        <is>
          <t>Pedágio</t>
        </is>
      </c>
      <c r="C27" s="246" t="n"/>
      <c r="D27" s="274">
        <f>13.2+10.8+7.88+7.88+7.6+11.5</f>
        <v/>
      </c>
      <c r="E27" s="275" t="n"/>
      <c r="F27" s="274">
        <f>13.2+13.2</f>
        <v/>
      </c>
      <c r="G27" s="275" t="n"/>
      <c r="H27" s="276">
        <f>13.2+13.2</f>
        <v/>
      </c>
      <c r="I27" s="275" t="n"/>
      <c r="J27" s="276">
        <f>13.2+13.2</f>
        <v/>
      </c>
      <c r="K27" s="275" t="n"/>
      <c r="L27" s="276">
        <f>10.2</f>
        <v/>
      </c>
      <c r="M27" s="275" t="n"/>
      <c r="N27" s="276" t="n"/>
      <c r="O27" s="275" t="n"/>
      <c r="P27" s="276" t="n"/>
      <c r="Q27" s="275" t="n"/>
      <c r="R27" s="277" t="n"/>
      <c r="S27" s="278" t="n"/>
      <c r="T27" s="263">
        <f>IF(SUM(D27:S29)=0,"",SUM(D27:S29))</f>
        <v/>
      </c>
      <c r="U27" s="264" t="n"/>
      <c r="V27" s="264" t="n"/>
      <c r="W27" s="264" t="n"/>
      <c r="X27" s="264" t="n"/>
      <c r="Y27" s="265" t="n"/>
    </row>
    <row r="28" ht="8.15" customHeight="1">
      <c r="A28" s="216" t="n"/>
      <c r="B28" s="217" t="n"/>
      <c r="C28" s="218" t="n"/>
      <c r="D28" s="262" t="n"/>
      <c r="E28" s="259" t="n"/>
      <c r="F28" s="262" t="n"/>
      <c r="G28" s="259" t="n"/>
      <c r="H28" s="266" t="n"/>
      <c r="I28" s="259" t="n"/>
      <c r="J28" s="266" t="n"/>
      <c r="K28" s="259" t="n"/>
      <c r="L28" s="266" t="n"/>
      <c r="M28" s="259" t="n"/>
      <c r="N28" s="266" t="n"/>
      <c r="O28" s="259" t="n"/>
      <c r="P28" s="266" t="n"/>
      <c r="Q28" s="259" t="n"/>
      <c r="R28" s="266" t="n"/>
      <c r="S28" s="262" t="n"/>
      <c r="T28" s="267" t="n"/>
      <c r="Y28" s="268" t="n"/>
    </row>
    <row r="29" ht="10.5" customFormat="1" customHeight="1" s="4">
      <c r="A29" s="216" t="n"/>
      <c r="B29" s="131" t="inlineStr">
        <is>
          <t>(5110200874416)</t>
        </is>
      </c>
      <c r="C29" s="222" t="n"/>
      <c r="D29" s="236" t="n"/>
      <c r="E29" s="237" t="n"/>
      <c r="F29" s="236" t="n"/>
      <c r="G29" s="237" t="n"/>
      <c r="H29" s="270" t="n"/>
      <c r="I29" s="237" t="n"/>
      <c r="J29" s="270" t="n"/>
      <c r="K29" s="237" t="n"/>
      <c r="L29" s="270" t="n"/>
      <c r="M29" s="237" t="n"/>
      <c r="N29" s="270" t="n"/>
      <c r="O29" s="237" t="n"/>
      <c r="P29" s="270" t="n"/>
      <c r="Q29" s="237" t="n"/>
      <c r="R29" s="270" t="n"/>
      <c r="S29" s="236" t="n"/>
      <c r="T29" s="271" t="n"/>
      <c r="U29" s="272" t="n"/>
      <c r="V29" s="272" t="n"/>
      <c r="W29" s="272" t="n"/>
      <c r="X29" s="272" t="n"/>
      <c r="Y29" s="273" t="n"/>
    </row>
    <row r="30" ht="9.75" customFormat="1" customHeight="1" s="4">
      <c r="A30" s="216" t="n"/>
      <c r="B30" s="121" t="inlineStr">
        <is>
          <t>Frete</t>
        </is>
      </c>
      <c r="C30" s="246" t="n"/>
      <c r="D30" s="274" t="n"/>
      <c r="E30" s="275" t="n"/>
      <c r="F30" s="276" t="n"/>
      <c r="G30" s="275" t="n"/>
      <c r="H30" s="276" t="n"/>
      <c r="I30" s="275" t="n"/>
      <c r="J30" s="276" t="n"/>
      <c r="K30" s="275" t="n"/>
      <c r="L30" s="276" t="n"/>
      <c r="M30" s="275" t="n"/>
      <c r="N30" s="276" t="n"/>
      <c r="O30" s="275" t="n"/>
      <c r="P30" s="276" t="n"/>
      <c r="Q30" s="275" t="n"/>
      <c r="R30" s="277" t="n"/>
      <c r="S30" s="278" t="n"/>
      <c r="T30" s="263">
        <f>IF(SUM(D30:S32)=0,"",SUM(D30:S32))</f>
        <v/>
      </c>
      <c r="U30" s="264" t="n"/>
      <c r="V30" s="264" t="n"/>
      <c r="W30" s="264" t="n"/>
      <c r="X30" s="264" t="n"/>
      <c r="Y30" s="265" t="n"/>
    </row>
    <row r="31" ht="5.25" customFormat="1" customHeight="1" s="4">
      <c r="A31" s="216" t="n"/>
      <c r="B31" s="217" t="n"/>
      <c r="C31" s="218" t="n"/>
      <c r="D31" s="262" t="n"/>
      <c r="E31" s="259" t="n"/>
      <c r="F31" s="266" t="n"/>
      <c r="G31" s="259" t="n"/>
      <c r="H31" s="266" t="n"/>
      <c r="I31" s="259" t="n"/>
      <c r="J31" s="266" t="n"/>
      <c r="K31" s="259" t="n"/>
      <c r="L31" s="266" t="n"/>
      <c r="M31" s="259" t="n"/>
      <c r="N31" s="266" t="n"/>
      <c r="O31" s="259" t="n"/>
      <c r="P31" s="266" t="n"/>
      <c r="Q31" s="259" t="n"/>
      <c r="R31" s="266" t="n"/>
      <c r="S31" s="262" t="n"/>
      <c r="T31" s="267" t="n"/>
      <c r="Y31" s="268" t="n"/>
    </row>
    <row r="32" ht="10.5" customFormat="1" customHeight="1" s="4">
      <c r="A32" s="216" t="n"/>
      <c r="B32" s="131" t="inlineStr">
        <is>
          <t>(5110100372600)</t>
        </is>
      </c>
      <c r="C32" s="222" t="n"/>
      <c r="D32" s="236" t="n"/>
      <c r="E32" s="237" t="n"/>
      <c r="F32" s="270" t="n"/>
      <c r="G32" s="237" t="n"/>
      <c r="H32" s="270" t="n"/>
      <c r="I32" s="237" t="n"/>
      <c r="J32" s="270" t="n"/>
      <c r="K32" s="237" t="n"/>
      <c r="L32" s="270" t="n"/>
      <c r="M32" s="237" t="n"/>
      <c r="N32" s="270" t="n"/>
      <c r="O32" s="237" t="n"/>
      <c r="P32" s="270" t="n"/>
      <c r="Q32" s="237" t="n"/>
      <c r="R32" s="270" t="n"/>
      <c r="S32" s="236" t="n"/>
      <c r="T32" s="271" t="n"/>
      <c r="U32" s="272" t="n"/>
      <c r="V32" s="272" t="n"/>
      <c r="W32" s="272" t="n"/>
      <c r="X32" s="272" t="n"/>
      <c r="Y32" s="273" t="n"/>
    </row>
    <row r="33" ht="8.15" customHeight="1">
      <c r="A33" s="216" t="n"/>
      <c r="B33" s="121" t="inlineStr">
        <is>
          <t>Combustível</t>
        </is>
      </c>
      <c r="C33" s="246" t="n"/>
      <c r="D33" s="274">
        <f>201.26</f>
        <v/>
      </c>
      <c r="E33" s="275" t="n"/>
      <c r="F33" s="274">
        <f>191.6</f>
        <v/>
      </c>
      <c r="G33" s="275" t="n"/>
      <c r="H33" s="276" t="n"/>
      <c r="I33" s="275" t="n"/>
      <c r="J33" s="276" t="n"/>
      <c r="K33" s="275" t="n"/>
      <c r="L33" s="276">
        <f>100</f>
        <v/>
      </c>
      <c r="M33" s="275" t="n"/>
      <c r="N33" s="276" t="n"/>
      <c r="O33" s="275" t="n"/>
      <c r="P33" s="276" t="n"/>
      <c r="Q33" s="275" t="n"/>
      <c r="R33" s="277" t="n"/>
      <c r="S33" s="278" t="n"/>
      <c r="T33" s="263">
        <f>IF(SUM(D33:S35)=0,"",SUM(D33:S35))</f>
        <v/>
      </c>
      <c r="U33" s="264" t="n"/>
      <c r="V33" s="264" t="n"/>
      <c r="W33" s="264" t="n"/>
      <c r="X33" s="264" t="n"/>
      <c r="Y33" s="265" t="n"/>
    </row>
    <row r="34" ht="8.15" customHeight="1">
      <c r="A34" s="216" t="n"/>
      <c r="B34" s="217" t="n"/>
      <c r="C34" s="218" t="n"/>
      <c r="D34" s="262" t="n"/>
      <c r="E34" s="259" t="n"/>
      <c r="F34" s="262" t="n"/>
      <c r="G34" s="259" t="n"/>
      <c r="H34" s="266" t="n"/>
      <c r="I34" s="259" t="n"/>
      <c r="J34" s="266" t="n"/>
      <c r="K34" s="259" t="n"/>
      <c r="L34" s="266" t="n"/>
      <c r="M34" s="259" t="n"/>
      <c r="N34" s="266" t="n"/>
      <c r="O34" s="259" t="n"/>
      <c r="P34" s="266" t="n"/>
      <c r="Q34" s="259" t="n"/>
      <c r="R34" s="266" t="n"/>
      <c r="S34" s="262" t="n"/>
      <c r="T34" s="267" t="n"/>
      <c r="Y34" s="268" t="n"/>
    </row>
    <row r="35" ht="10.5" customFormat="1" customHeight="1" s="4">
      <c r="A35" s="216" t="n"/>
      <c r="B35" s="131" t="inlineStr">
        <is>
          <t>(5110200874416)</t>
        </is>
      </c>
      <c r="C35" s="222" t="n"/>
      <c r="D35" s="236" t="n"/>
      <c r="E35" s="237" t="n"/>
      <c r="F35" s="236" t="n"/>
      <c r="G35" s="237" t="n"/>
      <c r="H35" s="270" t="n"/>
      <c r="I35" s="237" t="n"/>
      <c r="J35" s="270" t="n"/>
      <c r="K35" s="237" t="n"/>
      <c r="L35" s="270" t="n"/>
      <c r="M35" s="237" t="n"/>
      <c r="N35" s="270" t="n"/>
      <c r="O35" s="237" t="n"/>
      <c r="P35" s="270" t="n"/>
      <c r="Q35" s="237" t="n"/>
      <c r="R35" s="270" t="n"/>
      <c r="S35" s="236" t="n"/>
      <c r="T35" s="271" t="n"/>
      <c r="U35" s="272" t="n"/>
      <c r="V35" s="272" t="n"/>
      <c r="W35" s="272" t="n"/>
      <c r="X35" s="272" t="n"/>
      <c r="Y35" s="273" t="n"/>
    </row>
    <row r="36" ht="14.25" customHeight="1">
      <c r="A36" s="216" t="n"/>
      <c r="B36" s="121" t="inlineStr">
        <is>
          <t>Material de Uso e Consumo</t>
        </is>
      </c>
      <c r="C36" s="246" t="n"/>
      <c r="D36" s="274" t="n"/>
      <c r="E36" s="275" t="n"/>
      <c r="F36" s="276" t="n"/>
      <c r="G36" s="275" t="n"/>
      <c r="H36" s="274" t="n"/>
      <c r="I36" s="275" t="n"/>
      <c r="J36" s="276" t="n"/>
      <c r="K36" s="275" t="n"/>
      <c r="L36" s="276" t="n"/>
      <c r="M36" s="275" t="n"/>
      <c r="N36" s="276" t="n"/>
      <c r="O36" s="275" t="n"/>
      <c r="P36" s="276" t="n"/>
      <c r="Q36" s="275" t="n"/>
      <c r="R36" s="277" t="n"/>
      <c r="S36" s="278" t="n"/>
      <c r="T36" s="263">
        <f>IF(SUM(D36:S38)=0,"",SUM(D36:S38))</f>
        <v/>
      </c>
      <c r="U36" s="264" t="n"/>
      <c r="V36" s="264" t="n"/>
      <c r="W36" s="264" t="n"/>
      <c r="X36" s="264" t="n"/>
      <c r="Y36" s="265" t="n"/>
    </row>
    <row r="37" ht="8.15" customHeight="1">
      <c r="A37" s="216" t="n"/>
      <c r="B37" s="217" t="n"/>
      <c r="C37" s="218" t="n"/>
      <c r="D37" s="262" t="n"/>
      <c r="E37" s="259" t="n"/>
      <c r="F37" s="266" t="n"/>
      <c r="G37" s="259" t="n"/>
      <c r="H37" s="262" t="n"/>
      <c r="I37" s="259" t="n"/>
      <c r="J37" s="266" t="n"/>
      <c r="K37" s="259" t="n"/>
      <c r="L37" s="266" t="n"/>
      <c r="M37" s="259" t="n"/>
      <c r="N37" s="266" t="n"/>
      <c r="O37" s="259" t="n"/>
      <c r="P37" s="266" t="n"/>
      <c r="Q37" s="259" t="n"/>
      <c r="R37" s="266" t="n"/>
      <c r="S37" s="262" t="n"/>
      <c r="T37" s="267" t="n"/>
      <c r="Y37" s="268" t="n"/>
    </row>
    <row r="38" ht="10.5" customFormat="1" customHeight="1" s="4">
      <c r="A38" s="216" t="n"/>
      <c r="B38" s="131" t="inlineStr">
        <is>
          <t>(5110200874417)</t>
        </is>
      </c>
      <c r="C38" s="222" t="n"/>
      <c r="D38" s="236" t="n"/>
      <c r="E38" s="237" t="n"/>
      <c r="F38" s="270" t="n"/>
      <c r="G38" s="237" t="n"/>
      <c r="H38" s="236" t="n"/>
      <c r="I38" s="237" t="n"/>
      <c r="J38" s="270" t="n"/>
      <c r="K38" s="237" t="n"/>
      <c r="L38" s="270" t="n"/>
      <c r="M38" s="237" t="n"/>
      <c r="N38" s="270" t="n"/>
      <c r="O38" s="237" t="n"/>
      <c r="P38" s="270" t="n"/>
      <c r="Q38" s="237" t="n"/>
      <c r="R38" s="270" t="n"/>
      <c r="S38" s="236" t="n"/>
      <c r="T38" s="271" t="n"/>
      <c r="U38" s="272" t="n"/>
      <c r="V38" s="272" t="n"/>
      <c r="W38" s="272" t="n"/>
      <c r="X38" s="272" t="n"/>
      <c r="Y38" s="273" t="n"/>
    </row>
    <row r="39" ht="11.25" customHeight="1">
      <c r="A39" s="216" t="n"/>
      <c r="B39" s="121" t="inlineStr">
        <is>
          <t>Locações de Veículos</t>
        </is>
      </c>
      <c r="C39" s="246" t="n"/>
      <c r="D39" s="274" t="n"/>
      <c r="E39" s="275" t="n"/>
      <c r="F39" s="276" t="n"/>
      <c r="G39" s="275" t="n"/>
      <c r="H39" s="276" t="n"/>
      <c r="I39" s="275" t="n"/>
      <c r="J39" s="276" t="n"/>
      <c r="K39" s="275" t="n"/>
      <c r="L39" s="276" t="n"/>
      <c r="M39" s="275" t="n"/>
      <c r="N39" s="276" t="n"/>
      <c r="O39" s="275" t="n"/>
      <c r="P39" s="276" t="n"/>
      <c r="Q39" s="275" t="n"/>
      <c r="R39" s="277" t="n"/>
      <c r="S39" s="278" t="n"/>
      <c r="T39" s="263">
        <f>IF(SUM(D39:S41)=0,"",SUM(D39:S41))</f>
        <v/>
      </c>
      <c r="U39" s="264" t="n"/>
      <c r="V39" s="264" t="n"/>
      <c r="W39" s="264" t="n"/>
      <c r="X39" s="264" t="n"/>
      <c r="Y39" s="265" t="n"/>
    </row>
    <row r="40" ht="9.9" customHeight="1">
      <c r="A40" s="216" t="n"/>
      <c r="B40" s="217" t="n"/>
      <c r="C40" s="218" t="n"/>
      <c r="D40" s="262" t="n"/>
      <c r="E40" s="259" t="n"/>
      <c r="F40" s="266" t="n"/>
      <c r="G40" s="259" t="n"/>
      <c r="H40" s="266" t="n"/>
      <c r="I40" s="259" t="n"/>
      <c r="J40" s="266" t="n"/>
      <c r="K40" s="259" t="n"/>
      <c r="L40" s="266" t="n"/>
      <c r="M40" s="259" t="n"/>
      <c r="N40" s="266" t="n"/>
      <c r="O40" s="259" t="n"/>
      <c r="P40" s="266" t="n"/>
      <c r="Q40" s="259" t="n"/>
      <c r="R40" s="266" t="n"/>
      <c r="S40" s="262" t="n"/>
      <c r="T40" s="267" t="n"/>
      <c r="Y40" s="268" t="n"/>
    </row>
    <row r="41" ht="10.5" customFormat="1" customHeight="1" s="4">
      <c r="A41" s="216" t="n"/>
      <c r="B41" s="131" t="inlineStr">
        <is>
          <t>(5110200573800)</t>
        </is>
      </c>
      <c r="C41" s="222" t="n"/>
      <c r="D41" s="236" t="n"/>
      <c r="E41" s="237" t="n"/>
      <c r="F41" s="270" t="n"/>
      <c r="G41" s="237" t="n"/>
      <c r="H41" s="270" t="n"/>
      <c r="I41" s="237" t="n"/>
      <c r="J41" s="270" t="n"/>
      <c r="K41" s="237" t="n"/>
      <c r="L41" s="270" t="n"/>
      <c r="M41" s="237" t="n"/>
      <c r="N41" s="270" t="n"/>
      <c r="O41" s="237" t="n"/>
      <c r="P41" s="270" t="n"/>
      <c r="Q41" s="237" t="n"/>
      <c r="R41" s="270" t="n"/>
      <c r="S41" s="236" t="n"/>
      <c r="T41" s="271" t="n"/>
      <c r="U41" s="272" t="n"/>
      <c r="V41" s="272" t="n"/>
      <c r="W41" s="272" t="n"/>
      <c r="X41" s="272" t="n"/>
      <c r="Y41" s="273" t="n"/>
    </row>
    <row r="42" ht="8.15" customHeight="1">
      <c r="A42" s="216" t="n"/>
      <c r="B42" s="121" t="inlineStr">
        <is>
          <t>Transporte/ taxi</t>
        </is>
      </c>
      <c r="C42" s="246" t="n"/>
      <c r="D42" s="274" t="n"/>
      <c r="E42" s="275" t="n"/>
      <c r="F42" s="276" t="n"/>
      <c r="G42" s="275" t="n"/>
      <c r="H42" s="276" t="n"/>
      <c r="I42" s="275" t="n"/>
      <c r="J42" s="276" t="n"/>
      <c r="K42" s="275" t="n"/>
      <c r="L42" s="276" t="n"/>
      <c r="M42" s="275" t="n"/>
      <c r="N42" s="276" t="n"/>
      <c r="O42" s="275" t="n"/>
      <c r="P42" s="276" t="n"/>
      <c r="Q42" s="275" t="n"/>
      <c r="R42" s="277" t="n"/>
      <c r="S42" s="278" t="n"/>
      <c r="T42" s="263">
        <f>IF(SUM(D42:S44)=0,"",SUM(D42:S44))</f>
        <v/>
      </c>
      <c r="U42" s="264" t="n"/>
      <c r="V42" s="264" t="n"/>
      <c r="W42" s="264" t="n"/>
      <c r="X42" s="264" t="n"/>
      <c r="Y42" s="265" t="n"/>
    </row>
    <row r="43" ht="8.15" customHeight="1">
      <c r="A43" s="216" t="n"/>
      <c r="B43" s="217" t="n"/>
      <c r="C43" s="218" t="n"/>
      <c r="D43" s="262" t="n"/>
      <c r="E43" s="259" t="n"/>
      <c r="F43" s="266" t="n"/>
      <c r="G43" s="259" t="n"/>
      <c r="H43" s="266" t="n"/>
      <c r="I43" s="259" t="n"/>
      <c r="J43" s="266" t="n"/>
      <c r="K43" s="259" t="n"/>
      <c r="L43" s="266" t="n"/>
      <c r="M43" s="259" t="n"/>
      <c r="N43" s="266" t="n"/>
      <c r="O43" s="259" t="n"/>
      <c r="P43" s="266" t="n"/>
      <c r="Q43" s="259" t="n"/>
      <c r="R43" s="266" t="n"/>
      <c r="S43" s="262" t="n"/>
      <c r="T43" s="267" t="n"/>
      <c r="Y43" s="268" t="n"/>
    </row>
    <row r="44" ht="10.5" customFormat="1" customHeight="1" s="4">
      <c r="A44" s="216" t="n"/>
      <c r="B44" s="131" t="inlineStr">
        <is>
          <t>(5110200874416)</t>
        </is>
      </c>
      <c r="C44" s="222" t="n"/>
      <c r="D44" s="236" t="n"/>
      <c r="E44" s="237" t="n"/>
      <c r="F44" s="270" t="n"/>
      <c r="G44" s="237" t="n"/>
      <c r="H44" s="270" t="n"/>
      <c r="I44" s="237" t="n"/>
      <c r="J44" s="270" t="n"/>
      <c r="K44" s="237" t="n"/>
      <c r="L44" s="270" t="n"/>
      <c r="M44" s="237" t="n"/>
      <c r="N44" s="270" t="n"/>
      <c r="O44" s="237" t="n"/>
      <c r="P44" s="270" t="n"/>
      <c r="Q44" s="237" t="n"/>
      <c r="R44" s="270" t="n"/>
      <c r="S44" s="236" t="n"/>
      <c r="T44" s="271" t="n"/>
      <c r="U44" s="272" t="n"/>
      <c r="V44" s="272" t="n"/>
      <c r="W44" s="272" t="n"/>
      <c r="X44" s="272" t="n"/>
      <c r="Y44" s="273" t="n"/>
    </row>
    <row r="45" ht="8.15" customHeight="1">
      <c r="A45" s="216" t="n"/>
      <c r="B45" s="127" t="inlineStr">
        <is>
          <t>*Outras Despesas</t>
        </is>
      </c>
      <c r="C45" s="246" t="n"/>
      <c r="D45" s="279" t="n"/>
      <c r="E45" s="275" t="n"/>
      <c r="F45" s="280" t="n"/>
      <c r="G45" s="275" t="n"/>
      <c r="H45" s="280" t="n"/>
      <c r="I45" s="275" t="n"/>
      <c r="J45" s="280" t="n"/>
      <c r="K45" s="275" t="n"/>
      <c r="L45" s="280">
        <f>19.9</f>
        <v/>
      </c>
      <c r="M45" s="275" t="n"/>
      <c r="N45" s="280" t="n"/>
      <c r="O45" s="275" t="n"/>
      <c r="P45" s="280" t="n"/>
      <c r="Q45" s="275" t="n"/>
      <c r="R45" s="280" t="n"/>
      <c r="S45" s="275" t="n"/>
      <c r="T45" s="281">
        <f>IF(SUM(D45:R45)=0,"",SUM(D45:R45))</f>
        <v/>
      </c>
      <c r="U45" s="264" t="n"/>
      <c r="V45" s="264" t="n"/>
      <c r="W45" s="264" t="n"/>
      <c r="X45" s="264" t="n"/>
      <c r="Y45" s="265" t="n"/>
    </row>
    <row r="46" ht="11.25" customHeight="1">
      <c r="A46" s="216" t="n"/>
      <c r="B46" s="220" t="n"/>
      <c r="C46" s="222" t="n"/>
      <c r="D46" s="236" t="n"/>
      <c r="E46" s="237" t="n"/>
      <c r="F46" s="270" t="n"/>
      <c r="G46" s="237" t="n"/>
      <c r="H46" s="270" t="n"/>
      <c r="I46" s="237" t="n"/>
      <c r="J46" s="270" t="n"/>
      <c r="K46" s="237" t="n"/>
      <c r="L46" s="270" t="n"/>
      <c r="M46" s="237" t="n"/>
      <c r="N46" s="270" t="n"/>
      <c r="O46" s="237" t="n"/>
      <c r="P46" s="270" t="n"/>
      <c r="Q46" s="237" t="n"/>
      <c r="R46" s="270" t="n"/>
      <c r="S46" s="237" t="n"/>
      <c r="T46" s="271" t="n"/>
      <c r="U46" s="272" t="n"/>
      <c r="V46" s="272" t="n"/>
      <c r="W46" s="272" t="n"/>
      <c r="X46" s="272" t="n"/>
      <c r="Y46" s="273" t="n"/>
    </row>
    <row r="47" ht="8.15" customHeight="1">
      <c r="A47" s="216" t="n"/>
      <c r="B47" s="73" t="inlineStr">
        <is>
          <t>Total</t>
        </is>
      </c>
      <c r="C47" s="246" t="n"/>
      <c r="D47" s="281">
        <f>SUM(D21:E46)</f>
        <v/>
      </c>
      <c r="E47" s="265" t="n"/>
      <c r="F47" s="281">
        <f>SUM(F21:G46)</f>
        <v/>
      </c>
      <c r="G47" s="265" t="n"/>
      <c r="H47" s="281">
        <f>SUM(H21:I46)</f>
        <v/>
      </c>
      <c r="I47" s="265" t="n"/>
      <c r="J47" s="281">
        <f>SUM(J21:K46)</f>
        <v/>
      </c>
      <c r="K47" s="265" t="n"/>
      <c r="L47" s="281">
        <f>SUM(L21:M46)</f>
        <v/>
      </c>
      <c r="M47" s="265" t="n"/>
      <c r="N47" s="281">
        <f>SUM(N21:O46)</f>
        <v/>
      </c>
      <c r="O47" s="265" t="n"/>
      <c r="P47" s="281">
        <f>SUM(P21:Q46)</f>
        <v/>
      </c>
      <c r="Q47" s="265" t="n"/>
      <c r="R47" s="281">
        <f>SUM(R21:S46)</f>
        <v/>
      </c>
      <c r="S47" s="265" t="n"/>
      <c r="T47" s="281">
        <f>SUM(D47:S48)</f>
        <v/>
      </c>
      <c r="U47" s="264" t="n"/>
      <c r="V47" s="264" t="n"/>
      <c r="W47" s="264" t="n"/>
      <c r="X47" s="264" t="n"/>
      <c r="Y47" s="265" t="n"/>
    </row>
    <row r="48" ht="15" customHeight="1">
      <c r="A48" s="216" t="n"/>
      <c r="B48" s="220" t="n"/>
      <c r="C48" s="222" t="n"/>
      <c r="D48" s="271" t="n"/>
      <c r="E48" s="273" t="n"/>
      <c r="F48" s="271" t="n"/>
      <c r="G48" s="273" t="n"/>
      <c r="H48" s="271" t="n"/>
      <c r="I48" s="273" t="n"/>
      <c r="J48" s="271" t="n"/>
      <c r="K48" s="273" t="n"/>
      <c r="L48" s="271" t="n"/>
      <c r="M48" s="273" t="n"/>
      <c r="N48" s="271" t="n"/>
      <c r="O48" s="273" t="n"/>
      <c r="P48" s="271" t="n"/>
      <c r="Q48" s="273" t="n"/>
      <c r="R48" s="271" t="n"/>
      <c r="S48" s="273" t="n"/>
      <c r="T48" s="271" t="n"/>
      <c r="U48" s="272" t="n"/>
      <c r="V48" s="272" t="n"/>
      <c r="W48" s="272" t="n"/>
      <c r="X48" s="272" t="n"/>
      <c r="Y48" s="273" t="n"/>
    </row>
    <row r="49" ht="10.5" customHeight="1">
      <c r="A49" s="216" t="n"/>
      <c r="B49" s="62" t="inlineStr">
        <is>
          <t>*DESCRIÇÃO DE OUTRAS DESPESAS</t>
        </is>
      </c>
      <c r="C49" s="282" t="n"/>
      <c r="D49" s="282" t="n"/>
      <c r="E49" s="282" t="n"/>
      <c r="F49" s="282" t="n"/>
      <c r="G49" s="282" t="n"/>
      <c r="H49" s="282" t="n"/>
      <c r="I49" s="282" t="n"/>
      <c r="J49" s="282" t="n"/>
      <c r="K49" s="282" t="n"/>
      <c r="L49" s="282" t="n"/>
      <c r="M49" s="282" t="n"/>
      <c r="N49" s="282" t="n"/>
      <c r="O49" s="282" t="n"/>
      <c r="P49" s="282" t="n"/>
      <c r="Q49" s="282" t="n"/>
      <c r="R49" s="282" t="n"/>
      <c r="S49" s="282" t="n"/>
      <c r="T49" s="282" t="n"/>
      <c r="U49" s="282" t="n"/>
      <c r="V49" s="282" t="n"/>
      <c r="W49" s="282" t="n"/>
      <c r="X49" s="282" t="n"/>
      <c r="Y49" s="283" t="n"/>
    </row>
    <row r="50" ht="10.5" customHeight="1">
      <c r="A50" s="216" t="n"/>
      <c r="B50" s="69" t="inlineStr">
        <is>
          <t>Data</t>
        </is>
      </c>
      <c r="C50" s="284" t="n"/>
      <c r="D50" s="71" t="inlineStr">
        <is>
          <t xml:space="preserve"> (Campo Obrigatório)</t>
        </is>
      </c>
      <c r="E50" s="228" t="n"/>
      <c r="F50" s="228" t="n"/>
      <c r="G50" s="228" t="n"/>
      <c r="H50" s="228" t="n"/>
      <c r="I50" s="228" t="n"/>
      <c r="J50" s="228" t="n"/>
      <c r="K50" s="228" t="n"/>
      <c r="L50" s="228" t="n"/>
      <c r="M50" s="228" t="n"/>
      <c r="N50" s="228" t="n"/>
      <c r="O50" s="228" t="n"/>
      <c r="P50" s="228" t="n"/>
      <c r="Q50" s="228" t="n"/>
      <c r="R50" s="228" t="n"/>
      <c r="S50" s="228" t="n"/>
      <c r="T50" s="228" t="n"/>
      <c r="U50" s="228" t="n"/>
      <c r="V50" s="228" t="n"/>
      <c r="W50" s="228" t="n"/>
      <c r="X50" s="285" t="inlineStr">
        <is>
          <t>Valor</t>
        </is>
      </c>
      <c r="Y50" s="286" t="n"/>
    </row>
    <row r="51" ht="10.5" customHeight="1">
      <c r="A51" s="216" t="n"/>
      <c r="B51" s="287" t="n">
        <v>46088</v>
      </c>
      <c r="C51" s="288" t="n"/>
      <c r="D51" s="42" t="inlineStr">
        <is>
          <t>Lavanderia</t>
        </is>
      </c>
      <c r="E51" s="289" t="n"/>
      <c r="F51" s="289" t="n"/>
      <c r="G51" s="289" t="n"/>
      <c r="H51" s="289" t="n"/>
      <c r="I51" s="289" t="n"/>
      <c r="J51" s="289" t="n"/>
      <c r="K51" s="289" t="n"/>
      <c r="L51" s="289" t="n"/>
      <c r="M51" s="289" t="n"/>
      <c r="N51" s="289" t="n"/>
      <c r="O51" s="289" t="n"/>
      <c r="P51" s="289" t="n"/>
      <c r="Q51" s="289" t="n"/>
      <c r="R51" s="289" t="n"/>
      <c r="S51" s="289" t="n"/>
      <c r="T51" s="289" t="n"/>
      <c r="U51" s="289" t="n"/>
      <c r="V51" s="289" t="n"/>
      <c r="W51" s="72" t="n"/>
      <c r="X51" s="290">
        <f>19.9</f>
        <v/>
      </c>
      <c r="Y51" s="291" t="n"/>
    </row>
    <row r="52" ht="10.5" customHeight="1">
      <c r="A52" s="216" t="n"/>
      <c r="B52" s="287" t="n"/>
      <c r="C52" s="288" t="n"/>
      <c r="D52" s="42" t="n"/>
      <c r="E52" s="289" t="n"/>
      <c r="F52" s="289" t="n"/>
      <c r="G52" s="289" t="n"/>
      <c r="H52" s="289" t="n"/>
      <c r="I52" s="289" t="n"/>
      <c r="J52" s="289" t="n"/>
      <c r="K52" s="289" t="n"/>
      <c r="L52" s="289" t="n"/>
      <c r="M52" s="289" t="n"/>
      <c r="N52" s="289" t="n"/>
      <c r="O52" s="289" t="n"/>
      <c r="P52" s="289" t="n"/>
      <c r="Q52" s="289" t="n"/>
      <c r="R52" s="289" t="n"/>
      <c r="S52" s="289" t="n"/>
      <c r="T52" s="289" t="n"/>
      <c r="U52" s="289" t="n"/>
      <c r="V52" s="289" t="n"/>
      <c r="W52" s="289" t="n"/>
      <c r="X52" s="290" t="n"/>
      <c r="Y52" s="291" t="n"/>
    </row>
    <row r="53" ht="10.5" customHeight="1">
      <c r="A53" s="216" t="n"/>
      <c r="B53" s="287" t="n"/>
      <c r="C53" s="288" t="n"/>
      <c r="D53" s="42" t="n"/>
      <c r="E53" s="289" t="n"/>
      <c r="F53" s="289" t="n"/>
      <c r="G53" s="289" t="n"/>
      <c r="H53" s="289" t="n"/>
      <c r="I53" s="289" t="n"/>
      <c r="J53" s="289" t="n"/>
      <c r="K53" s="289" t="n"/>
      <c r="L53" s="289" t="n"/>
      <c r="M53" s="289" t="n"/>
      <c r="N53" s="289" t="n"/>
      <c r="O53" s="289" t="n"/>
      <c r="P53" s="289" t="n"/>
      <c r="Q53" s="289" t="n"/>
      <c r="R53" s="289" t="n"/>
      <c r="S53" s="289" t="n"/>
      <c r="T53" s="289" t="n"/>
      <c r="U53" s="289" t="n"/>
      <c r="V53" s="289" t="n"/>
      <c r="W53" s="289" t="n"/>
      <c r="X53" s="290" t="n"/>
      <c r="Y53" s="291" t="n"/>
    </row>
    <row r="54" ht="10.5" customHeight="1">
      <c r="A54" s="216" t="n"/>
      <c r="B54" s="287" t="n"/>
      <c r="C54" s="288" t="n"/>
      <c r="D54" s="94" t="n"/>
      <c r="E54" s="292" t="n"/>
      <c r="F54" s="292" t="n"/>
      <c r="G54" s="292" t="n"/>
      <c r="H54" s="292" t="n"/>
      <c r="I54" s="292" t="n"/>
      <c r="J54" s="292" t="n"/>
      <c r="K54" s="292" t="n"/>
      <c r="L54" s="292" t="n"/>
      <c r="M54" s="292" t="n"/>
      <c r="N54" s="292" t="n"/>
      <c r="O54" s="292" t="n"/>
      <c r="P54" s="292" t="n"/>
      <c r="Q54" s="292" t="n"/>
      <c r="R54" s="292" t="n"/>
      <c r="S54" s="292" t="n"/>
      <c r="T54" s="292" t="n"/>
      <c r="U54" s="292" t="n"/>
      <c r="V54" s="292" t="n"/>
      <c r="W54" s="292" t="n"/>
      <c r="X54" s="290" t="n"/>
      <c r="Y54" s="291" t="n"/>
    </row>
    <row r="55" ht="15" customHeight="1">
      <c r="A55" s="216" t="n"/>
      <c r="B55" s="118" t="inlineStr">
        <is>
          <t>Total</t>
        </is>
      </c>
      <c r="C55" s="275" t="n"/>
      <c r="D55" s="22" t="n"/>
      <c r="E55" s="278" t="n"/>
      <c r="F55" s="278" t="n"/>
      <c r="G55" s="278" t="n"/>
      <c r="H55" s="278" t="n"/>
      <c r="I55" s="278" t="n"/>
      <c r="J55" s="278" t="n"/>
      <c r="K55" s="278" t="n"/>
      <c r="L55" s="278" t="n"/>
      <c r="M55" s="278" t="n"/>
      <c r="N55" s="278" t="n"/>
      <c r="O55" s="278" t="n"/>
      <c r="P55" s="278" t="n"/>
      <c r="Q55" s="278" t="n"/>
      <c r="R55" s="278" t="n"/>
      <c r="S55" s="278" t="n"/>
      <c r="T55" s="278" t="n"/>
      <c r="U55" s="278" t="n"/>
      <c r="V55" s="278" t="n"/>
      <c r="W55" s="278" t="n"/>
      <c r="X55" s="293" t="n"/>
      <c r="Y55" s="294" t="n"/>
    </row>
    <row r="56" ht="10.5" customHeight="1">
      <c r="A56" s="216" t="n"/>
      <c r="B56" s="62" t="inlineStr">
        <is>
          <t xml:space="preserve"> DESPESAS DE QUILOMETRAGEM</t>
        </is>
      </c>
      <c r="C56" s="282" t="n"/>
      <c r="D56" s="282" t="n"/>
      <c r="E56" s="282" t="n"/>
      <c r="F56" s="282" t="n"/>
      <c r="G56" s="282" t="n"/>
      <c r="H56" s="282" t="n"/>
      <c r="I56" s="282" t="n"/>
      <c r="J56" s="282" t="n"/>
      <c r="K56" s="282" t="n"/>
      <c r="L56" s="282" t="n"/>
      <c r="M56" s="282" t="n"/>
      <c r="N56" s="282" t="n"/>
      <c r="O56" s="282" t="n"/>
      <c r="P56" s="282" t="n"/>
      <c r="Q56" s="282" t="n"/>
      <c r="R56" s="282" t="n"/>
      <c r="S56" s="282" t="n"/>
      <c r="T56" s="282" t="n"/>
      <c r="U56" s="282" t="n"/>
      <c r="V56" s="282" t="n"/>
      <c r="W56" s="282" t="n"/>
      <c r="X56" s="282" t="n"/>
      <c r="Y56" s="283" t="n"/>
    </row>
    <row r="57" ht="13.5" customHeight="1">
      <c r="A57" s="216" t="n"/>
      <c r="B57" s="120" t="inlineStr">
        <is>
          <t>Data</t>
        </is>
      </c>
      <c r="C57" s="273" t="n"/>
      <c r="D57" s="99" t="inlineStr">
        <is>
          <t>Distancia Percorrida</t>
        </is>
      </c>
      <c r="E57" s="272" t="n"/>
      <c r="F57" s="273" t="n"/>
      <c r="G57" s="65" t="inlineStr">
        <is>
          <t>Descrição</t>
        </is>
      </c>
      <c r="H57" s="272" t="n"/>
      <c r="I57" s="272" t="n"/>
      <c r="J57" s="272" t="n"/>
      <c r="K57" s="272" t="n"/>
      <c r="L57" s="272" t="n"/>
      <c r="M57" s="272" t="n"/>
      <c r="N57" s="272" t="n"/>
      <c r="O57" s="272" t="n"/>
      <c r="P57" s="272" t="n"/>
      <c r="Q57" s="272" t="n"/>
      <c r="R57" s="273" t="n"/>
      <c r="S57" s="89" t="inlineStr">
        <is>
          <t>Valor pago por KM percorrido</t>
        </is>
      </c>
      <c r="W57" s="295" t="n"/>
      <c r="X57" s="85" t="inlineStr">
        <is>
          <t>Valor</t>
        </is>
      </c>
      <c r="Y57" s="296" t="n"/>
    </row>
    <row r="58">
      <c r="A58" s="216" t="n"/>
      <c r="B58" s="297" t="n"/>
      <c r="C58" s="298" t="n"/>
      <c r="D58" s="299" t="n"/>
      <c r="E58" s="300" t="n"/>
      <c r="F58" s="301" t="n"/>
      <c r="G58" s="77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W58" s="295" t="n"/>
      <c r="X58" s="302">
        <f>D58*S61</f>
        <v/>
      </c>
      <c r="Y58" s="239" t="n"/>
    </row>
    <row r="59" ht="10.5" customHeight="1">
      <c r="A59" s="216" t="n"/>
      <c r="B59" s="66" t="n"/>
      <c r="C59" s="303" t="n"/>
      <c r="D59" s="304" t="n"/>
      <c r="E59" s="289" t="n"/>
      <c r="F59" s="288" t="n"/>
      <c r="G59" s="42" t="n"/>
      <c r="H59" s="289" t="n"/>
      <c r="I59" s="289" t="n"/>
      <c r="J59" s="289" t="n"/>
      <c r="K59" s="289" t="n"/>
      <c r="L59" s="289" t="n"/>
      <c r="M59" s="289" t="n"/>
      <c r="N59" s="289" t="n"/>
      <c r="O59" s="289" t="n"/>
      <c r="P59" s="289" t="n"/>
      <c r="Q59" s="289" t="n"/>
      <c r="R59" s="289" t="n"/>
      <c r="W59" s="295" t="n"/>
      <c r="X59" s="302">
        <f>D59*$S$61</f>
        <v/>
      </c>
      <c r="Y59" s="239" t="n"/>
    </row>
    <row r="60" ht="10.5" customHeight="1">
      <c r="A60" s="216" t="n"/>
      <c r="B60" s="66" t="n"/>
      <c r="C60" s="303" t="n"/>
      <c r="D60" s="304" t="n"/>
      <c r="E60" s="289" t="n"/>
      <c r="F60" s="288" t="n"/>
      <c r="G60" s="42" t="n"/>
      <c r="H60" s="289" t="n"/>
      <c r="I60" s="289" t="n"/>
      <c r="J60" s="289" t="n"/>
      <c r="K60" s="289" t="n"/>
      <c r="L60" s="289" t="n"/>
      <c r="M60" s="289" t="n"/>
      <c r="N60" s="289" t="n"/>
      <c r="O60" s="289" t="n"/>
      <c r="P60" s="289" t="n"/>
      <c r="Q60" s="289" t="n"/>
      <c r="R60" s="289" t="n"/>
      <c r="S60" s="305" t="n"/>
      <c r="T60" s="305" t="n"/>
      <c r="U60" s="305" t="n"/>
      <c r="V60" s="305" t="n"/>
      <c r="W60" s="306" t="n"/>
      <c r="X60" s="302">
        <f>D60*$S$61</f>
        <v/>
      </c>
      <c r="Y60" s="239" t="n"/>
    </row>
    <row r="61" ht="10.5" customHeight="1">
      <c r="A61" s="216" t="n"/>
      <c r="B61" s="66" t="n"/>
      <c r="C61" s="303" t="n"/>
      <c r="D61" s="304" t="n"/>
      <c r="E61" s="289" t="n"/>
      <c r="F61" s="288" t="n"/>
      <c r="G61" s="42" t="n"/>
      <c r="H61" s="289" t="n"/>
      <c r="I61" s="289" t="n"/>
      <c r="J61" s="289" t="n"/>
      <c r="K61" s="289" t="n"/>
      <c r="L61" s="289" t="n"/>
      <c r="M61" s="289" t="n"/>
      <c r="N61" s="289" t="n"/>
      <c r="O61" s="289" t="n"/>
      <c r="P61" s="289" t="n"/>
      <c r="Q61" s="289" t="n"/>
      <c r="R61" s="289" t="n"/>
      <c r="S61" s="307" t="n">
        <v>0.8</v>
      </c>
      <c r="T61" s="308" t="n"/>
      <c r="U61" s="308" t="n"/>
      <c r="V61" s="308" t="n"/>
      <c r="W61" s="309" t="n"/>
      <c r="X61" s="302">
        <f>D61*$S$61</f>
        <v/>
      </c>
      <c r="Y61" s="239" t="n"/>
    </row>
    <row r="62" ht="12" customHeight="1">
      <c r="A62" s="216" t="n"/>
      <c r="B62" s="79" t="n"/>
      <c r="C62" s="275" t="n"/>
      <c r="D62" s="310" t="n"/>
      <c r="E62" s="233" t="n"/>
      <c r="F62" s="234" t="n"/>
      <c r="G62" s="22" t="n"/>
      <c r="H62" s="278" t="n"/>
      <c r="I62" s="278" t="n"/>
      <c r="J62" s="278" t="n"/>
      <c r="K62" s="278" t="n"/>
      <c r="L62" s="278" t="n"/>
      <c r="M62" s="278" t="n"/>
      <c r="N62" s="278" t="n"/>
      <c r="O62" s="278" t="n"/>
      <c r="P62" s="278" t="n"/>
      <c r="Q62" s="278" t="n"/>
      <c r="R62" s="278" t="n"/>
      <c r="S62" s="311" t="n"/>
      <c r="W62" s="295" t="n"/>
      <c r="X62" s="302">
        <f>SUM(X58:Y61)</f>
        <v/>
      </c>
      <c r="Y62" s="239" t="n"/>
    </row>
    <row r="63">
      <c r="A63" s="216" t="n"/>
      <c r="B63" s="100" t="inlineStr">
        <is>
          <t>ACERTO</t>
        </is>
      </c>
      <c r="C63" s="282" t="n"/>
      <c r="D63" s="282" t="n"/>
      <c r="E63" s="282" t="n"/>
      <c r="F63" s="282" t="n"/>
      <c r="G63" s="282" t="n"/>
      <c r="H63" s="282" t="n"/>
      <c r="I63" s="282" t="n"/>
      <c r="J63" s="282" t="n"/>
      <c r="K63" s="282" t="n"/>
      <c r="L63" s="282" t="n"/>
      <c r="M63" s="282" t="n"/>
      <c r="N63" s="282" t="n"/>
      <c r="O63" s="282" t="n"/>
      <c r="P63" s="282" t="n"/>
      <c r="Q63" s="282" t="n"/>
      <c r="R63" s="282" t="n"/>
      <c r="S63" s="282" t="n"/>
      <c r="T63" s="282" t="n"/>
      <c r="U63" s="282" t="n"/>
      <c r="V63" s="282" t="n"/>
      <c r="W63" s="282" t="n"/>
      <c r="X63" s="282" t="n"/>
      <c r="Y63" s="312" t="n"/>
    </row>
    <row r="64" ht="12.75" customHeight="1">
      <c r="A64" s="216" t="n"/>
      <c r="B64" s="19" t="n"/>
      <c r="C64" s="16" t="n"/>
      <c r="D64" s="16" t="n"/>
      <c r="E64" s="16" t="n"/>
      <c r="F64" s="16" t="n"/>
      <c r="G64" s="16" t="n"/>
      <c r="H64" s="16" t="n"/>
      <c r="I64" s="16" t="n"/>
      <c r="J64" s="17" t="n"/>
      <c r="K64" s="53" t="inlineStr">
        <is>
          <t>Total de Adiantamento</t>
        </is>
      </c>
      <c r="L64" s="282" t="n"/>
      <c r="M64" s="282" t="n"/>
      <c r="N64" s="312" t="n"/>
      <c r="O64" s="313" t="inlineStr">
        <is>
          <t>Total das Despesas</t>
        </is>
      </c>
      <c r="P64" s="282" t="n"/>
      <c r="Q64" s="282" t="n"/>
      <c r="R64" s="312" t="n"/>
      <c r="S64" s="27" t="inlineStr">
        <is>
          <t>Saldo</t>
        </is>
      </c>
      <c r="Y64" s="216" t="n"/>
    </row>
    <row r="65" ht="15" customHeight="1">
      <c r="A65" s="216" t="n"/>
      <c r="B65" s="20" t="n"/>
      <c r="C65" s="15" t="n"/>
      <c r="D65" s="15" t="n"/>
      <c r="E65" s="15" t="n"/>
      <c r="F65" s="15" t="n"/>
      <c r="G65" s="15" t="n"/>
      <c r="H65" s="15" t="n"/>
      <c r="I65" s="15" t="n"/>
      <c r="J65" s="314" t="n"/>
      <c r="K65" s="315" t="n"/>
      <c r="L65" s="282" t="n"/>
      <c r="M65" s="282" t="n"/>
      <c r="N65" s="312" t="n"/>
      <c r="O65" s="316">
        <f>T47+X62</f>
        <v/>
      </c>
      <c r="P65" s="317" t="n"/>
      <c r="Q65" s="317" t="n"/>
      <c r="R65" s="318" t="n"/>
      <c r="S65" s="319">
        <f>O65-K65</f>
        <v/>
      </c>
      <c r="Y65" s="216" t="n"/>
    </row>
    <row r="66">
      <c r="A66" s="216" t="n"/>
      <c r="B66" s="33" t="inlineStr">
        <is>
          <t>Funcionário</t>
        </is>
      </c>
      <c r="L66" s="230" t="n"/>
      <c r="M66" s="37" t="inlineStr">
        <is>
          <t>Aprovação</t>
        </is>
      </c>
      <c r="N66" s="264" t="n"/>
      <c r="O66" s="264" t="n"/>
      <c r="P66" s="264" t="n"/>
      <c r="Q66" s="264" t="n"/>
      <c r="R66" s="264" t="n"/>
      <c r="S66" s="264" t="n"/>
      <c r="T66" s="264" t="n"/>
      <c r="U66" s="264" t="n"/>
      <c r="V66" s="264" t="n"/>
      <c r="W66" s="264" t="n"/>
      <c r="X66" s="264" t="n"/>
      <c r="Y66" s="250" t="n"/>
    </row>
    <row r="67" ht="13" customHeight="1">
      <c r="A67" s="216" t="n"/>
      <c r="B67" s="8" t="n"/>
      <c r="C67" s="213" t="n">
        <v>46132</v>
      </c>
      <c r="D67" s="262" t="n"/>
      <c r="F67" s="41" t="n"/>
      <c r="G67" s="262" t="n"/>
      <c r="H67" s="262" t="n"/>
      <c r="I67" s="262" t="n"/>
      <c r="J67" s="262" t="n"/>
      <c r="K67" s="262" t="n"/>
      <c r="L67" s="6" t="n"/>
      <c r="N67" s="40" t="n"/>
      <c r="O67" s="262" t="n"/>
      <c r="P67" s="3" t="n"/>
      <c r="Q67" s="41" t="n"/>
      <c r="R67" s="262" t="n"/>
      <c r="S67" s="262" t="n"/>
      <c r="T67" s="262" t="n"/>
      <c r="U67" s="262" t="n"/>
      <c r="V67" s="262" t="n"/>
      <c r="W67" s="262" t="n"/>
      <c r="X67" s="262" t="n"/>
      <c r="Y67" s="9" t="n"/>
    </row>
    <row r="68" ht="13" customHeight="1">
      <c r="A68" s="216" t="n"/>
      <c r="B68" s="8" t="n"/>
      <c r="C68" s="262" t="n"/>
      <c r="D68" s="262" t="n"/>
      <c r="F68" s="262" t="n"/>
      <c r="G68" s="262" t="n"/>
      <c r="H68" s="262" t="n"/>
      <c r="I68" s="262" t="n"/>
      <c r="J68" s="262" t="n"/>
      <c r="K68" s="262" t="n"/>
      <c r="L68" s="6" t="n"/>
      <c r="N68" s="262" t="n"/>
      <c r="O68" s="262" t="n"/>
      <c r="P68" s="3" t="n"/>
      <c r="Q68" s="262" t="n"/>
      <c r="R68" s="262" t="n"/>
      <c r="S68" s="262" t="n"/>
      <c r="T68" s="262" t="n"/>
      <c r="U68" s="262" t="n"/>
      <c r="V68" s="262" t="n"/>
      <c r="W68" s="262" t="n"/>
      <c r="X68" s="262" t="n"/>
      <c r="Y68" s="9" t="n"/>
    </row>
    <row r="69" ht="13" customHeight="1">
      <c r="A69" s="216" t="n"/>
      <c r="B69" s="8" t="n"/>
      <c r="C69" s="320" t="n"/>
      <c r="D69" s="320" t="n"/>
      <c r="F69" s="320" t="n"/>
      <c r="G69" s="320" t="n"/>
      <c r="H69" s="320" t="n"/>
      <c r="I69" s="320" t="n"/>
      <c r="J69" s="320" t="n"/>
      <c r="K69" s="320" t="n"/>
      <c r="L69" s="6" t="n"/>
      <c r="N69" s="320" t="n"/>
      <c r="O69" s="320" t="n"/>
      <c r="P69" s="3" t="n"/>
      <c r="Q69" s="320" t="n"/>
      <c r="R69" s="320" t="n"/>
      <c r="S69" s="320" t="n"/>
      <c r="T69" s="320" t="n"/>
      <c r="U69" s="320" t="n"/>
      <c r="V69" s="320" t="n"/>
      <c r="W69" s="320" t="n"/>
      <c r="X69" s="320" t="n"/>
      <c r="Y69" s="9" t="n"/>
    </row>
    <row r="70" ht="13" customHeight="1" thickBot="1">
      <c r="A70" s="216" t="n"/>
      <c r="B70" s="10" t="n"/>
      <c r="C70" s="28" t="inlineStr">
        <is>
          <t>Data</t>
        </is>
      </c>
      <c r="D70" s="321" t="n"/>
      <c r="E70" s="11" t="n"/>
      <c r="F70" s="28" t="inlineStr">
        <is>
          <t>Assinatura</t>
        </is>
      </c>
      <c r="G70" s="321" t="n"/>
      <c r="H70" s="321" t="n"/>
      <c r="I70" s="321" t="n"/>
      <c r="J70" s="321" t="n"/>
      <c r="K70" s="321" t="n"/>
      <c r="L70" s="12" t="n"/>
      <c r="M70" s="11" t="n"/>
      <c r="N70" s="28" t="inlineStr">
        <is>
          <t>Data</t>
        </is>
      </c>
      <c r="O70" s="321" t="n"/>
      <c r="P70" s="13" t="n"/>
      <c r="Q70" s="28" t="inlineStr">
        <is>
          <t>Assinatura</t>
        </is>
      </c>
      <c r="R70" s="321" t="n"/>
      <c r="S70" s="321" t="n"/>
      <c r="T70" s="321" t="n"/>
      <c r="U70" s="321" t="n"/>
      <c r="V70" s="321" t="n"/>
      <c r="W70" s="321" t="n"/>
      <c r="X70" s="321" t="n"/>
      <c r="Y70" s="14" t="n"/>
    </row>
  </sheetData>
  <mergeCells count="210">
    <mergeCell ref="H24:I26"/>
    <mergeCell ref="H33:I35"/>
    <mergeCell ref="O7:Y7"/>
    <mergeCell ref="J33:K35"/>
    <mergeCell ref="H42:I44"/>
    <mergeCell ref="L27:M29"/>
    <mergeCell ref="O64:R64"/>
    <mergeCell ref="J42:K44"/>
    <mergeCell ref="N27:O29"/>
    <mergeCell ref="N36:O38"/>
    <mergeCell ref="P12:Y12"/>
    <mergeCell ref="G62:R62"/>
    <mergeCell ref="H19:I20"/>
    <mergeCell ref="X52:Y52"/>
    <mergeCell ref="K65:N65"/>
    <mergeCell ref="B17:Y17"/>
    <mergeCell ref="T21:Y23"/>
    <mergeCell ref="B61:C61"/>
    <mergeCell ref="B30:C31"/>
    <mergeCell ref="P36:Q38"/>
    <mergeCell ref="H39:I41"/>
    <mergeCell ref="R30:S32"/>
    <mergeCell ref="J30:K32"/>
    <mergeCell ref="B38:C38"/>
    <mergeCell ref="L30:M32"/>
    <mergeCell ref="B2:G5"/>
    <mergeCell ref="F67:K69"/>
    <mergeCell ref="N45:O46"/>
    <mergeCell ref="B21:C22"/>
    <mergeCell ref="R42:S44"/>
    <mergeCell ref="P45:Q46"/>
    <mergeCell ref="T27:Y29"/>
    <mergeCell ref="P39:Q41"/>
    <mergeCell ref="G60:R60"/>
    <mergeCell ref="E10:H10"/>
    <mergeCell ref="L47:M48"/>
    <mergeCell ref="N47:O48"/>
    <mergeCell ref="T24:Y26"/>
    <mergeCell ref="B55:C55"/>
    <mergeCell ref="T33:Y35"/>
    <mergeCell ref="T42:Y44"/>
    <mergeCell ref="X54:Y54"/>
    <mergeCell ref="B51:C51"/>
    <mergeCell ref="B32:C32"/>
    <mergeCell ref="B26:C26"/>
    <mergeCell ref="B41:C41"/>
    <mergeCell ref="J21:K23"/>
    <mergeCell ref="B35:C35"/>
    <mergeCell ref="D57:F57"/>
    <mergeCell ref="L21:M23"/>
    <mergeCell ref="J39:K41"/>
    <mergeCell ref="B11:J11"/>
    <mergeCell ref="N24:O26"/>
    <mergeCell ref="P24:Q26"/>
    <mergeCell ref="D50:W50"/>
    <mergeCell ref="P33:Q35"/>
    <mergeCell ref="S65:Y65"/>
    <mergeCell ref="R33:S35"/>
    <mergeCell ref="F70:K70"/>
    <mergeCell ref="N19:O20"/>
    <mergeCell ref="B66:L66"/>
    <mergeCell ref="P19:Q20"/>
    <mergeCell ref="X57:Y57"/>
    <mergeCell ref="B10:D10"/>
    <mergeCell ref="B13:Y13"/>
    <mergeCell ref="B36:C37"/>
    <mergeCell ref="K11:O11"/>
    <mergeCell ref="B33:C34"/>
    <mergeCell ref="B9:D9"/>
    <mergeCell ref="D27:E29"/>
    <mergeCell ref="T45:Y46"/>
    <mergeCell ref="B7:H7"/>
    <mergeCell ref="D36:E38"/>
    <mergeCell ref="F36:G38"/>
    <mergeCell ref="P27:Q29"/>
    <mergeCell ref="B49:Y49"/>
    <mergeCell ref="N67:O69"/>
    <mergeCell ref="B53:C53"/>
    <mergeCell ref="K12:O12"/>
    <mergeCell ref="L42:M44"/>
    <mergeCell ref="B29:C29"/>
    <mergeCell ref="F33:G35"/>
    <mergeCell ref="N42:O44"/>
    <mergeCell ref="K64:N64"/>
    <mergeCell ref="X58:Y58"/>
    <mergeCell ref="F42:G44"/>
    <mergeCell ref="J27:K29"/>
    <mergeCell ref="H36:I38"/>
    <mergeCell ref="J36:K38"/>
    <mergeCell ref="D60:F60"/>
    <mergeCell ref="B63:Y63"/>
    <mergeCell ref="B47:C48"/>
    <mergeCell ref="X60:Y60"/>
    <mergeCell ref="B8:H8"/>
    <mergeCell ref="X59:Y59"/>
    <mergeCell ref="D45:E46"/>
    <mergeCell ref="F45:G46"/>
    <mergeCell ref="L36:M38"/>
    <mergeCell ref="D39:E41"/>
    <mergeCell ref="F39:G41"/>
    <mergeCell ref="B39:C40"/>
    <mergeCell ref="N30:O32"/>
    <mergeCell ref="P30:Q32"/>
    <mergeCell ref="I7:N7"/>
    <mergeCell ref="H30:I32"/>
    <mergeCell ref="R39:S41"/>
    <mergeCell ref="D47:E48"/>
    <mergeCell ref="B54:C54"/>
    <mergeCell ref="N70:O70"/>
    <mergeCell ref="T19:Y20"/>
    <mergeCell ref="H45:I46"/>
    <mergeCell ref="F47:G48"/>
    <mergeCell ref="J45:K46"/>
    <mergeCell ref="A2:A70"/>
    <mergeCell ref="L45:M46"/>
    <mergeCell ref="B24:C25"/>
    <mergeCell ref="S64:Y64"/>
    <mergeCell ref="B14:Y14"/>
    <mergeCell ref="H47:I48"/>
    <mergeCell ref="J47:K48"/>
    <mergeCell ref="B58:C58"/>
    <mergeCell ref="B52:C52"/>
    <mergeCell ref="D21:E23"/>
    <mergeCell ref="O8:R10"/>
    <mergeCell ref="G58:R58"/>
    <mergeCell ref="F24:G26"/>
    <mergeCell ref="D52:W52"/>
    <mergeCell ref="D58:F58"/>
    <mergeCell ref="R24:S26"/>
    <mergeCell ref="B60:C60"/>
    <mergeCell ref="T47:Y48"/>
    <mergeCell ref="B57:C57"/>
    <mergeCell ref="D19:E20"/>
    <mergeCell ref="F19:G20"/>
    <mergeCell ref="J24:K26"/>
    <mergeCell ref="R21:S23"/>
    <mergeCell ref="B44:C44"/>
    <mergeCell ref="L24:M26"/>
    <mergeCell ref="B15:Y15"/>
    <mergeCell ref="L33:M35"/>
    <mergeCell ref="N33:O35"/>
    <mergeCell ref="B19:C19"/>
    <mergeCell ref="R27:S29"/>
    <mergeCell ref="D53:W53"/>
    <mergeCell ref="I9:N9"/>
    <mergeCell ref="R36:S38"/>
    <mergeCell ref="J19:K20"/>
    <mergeCell ref="D59:F59"/>
    <mergeCell ref="C70:D70"/>
    <mergeCell ref="L19:M20"/>
    <mergeCell ref="X50:Y50"/>
    <mergeCell ref="T39:Y41"/>
    <mergeCell ref="O65:R65"/>
    <mergeCell ref="P11:Y11"/>
    <mergeCell ref="X51:Y51"/>
    <mergeCell ref="S61:W62"/>
    <mergeCell ref="B16:Y16"/>
    <mergeCell ref="D42:E44"/>
    <mergeCell ref="B42:C43"/>
    <mergeCell ref="P42:Q44"/>
    <mergeCell ref="D30:E32"/>
    <mergeCell ref="B18:Y18"/>
    <mergeCell ref="D54:W54"/>
    <mergeCell ref="B62:C62"/>
    <mergeCell ref="B59:C59"/>
    <mergeCell ref="D61:F61"/>
    <mergeCell ref="R45:S46"/>
    <mergeCell ref="G57:R57"/>
    <mergeCell ref="X61:Y61"/>
    <mergeCell ref="P47:Q48"/>
    <mergeCell ref="R47:S48"/>
    <mergeCell ref="F30:G32"/>
    <mergeCell ref="D51:V51"/>
    <mergeCell ref="M66:Y66"/>
    <mergeCell ref="D62:F62"/>
    <mergeCell ref="B23:C23"/>
    <mergeCell ref="B45:C46"/>
    <mergeCell ref="X53:Y53"/>
    <mergeCell ref="I8:N8"/>
    <mergeCell ref="X62:Y62"/>
    <mergeCell ref="Q67:X69"/>
    <mergeCell ref="N21:O23"/>
    <mergeCell ref="L39:M41"/>
    <mergeCell ref="P21:Q23"/>
    <mergeCell ref="F21:G23"/>
    <mergeCell ref="N39:O41"/>
    <mergeCell ref="H21:I23"/>
    <mergeCell ref="X55:Y55"/>
    <mergeCell ref="I10:N10"/>
    <mergeCell ref="B6:Y6"/>
    <mergeCell ref="T36:Y38"/>
    <mergeCell ref="S8:Y10"/>
    <mergeCell ref="C67:D69"/>
    <mergeCell ref="R19:S20"/>
    <mergeCell ref="B27:C28"/>
    <mergeCell ref="G59:R59"/>
    <mergeCell ref="Q70:X70"/>
    <mergeCell ref="E9:H9"/>
    <mergeCell ref="D24:E26"/>
    <mergeCell ref="H2:Y5"/>
    <mergeCell ref="D33:E35"/>
    <mergeCell ref="F27:G29"/>
    <mergeCell ref="T30:Y32"/>
    <mergeCell ref="H27:I29"/>
    <mergeCell ref="G61:R61"/>
    <mergeCell ref="D55:W55"/>
    <mergeCell ref="B50:C50"/>
    <mergeCell ref="B12:J12"/>
    <mergeCell ref="S57:W60"/>
    <mergeCell ref="B56:Y56"/>
  </mergeCells>
  <pageMargins left="0.25" right="0.25" top="0.75" bottom="0.75" header="0.3" footer="0.3"/>
  <pageSetup orientation="portrait" paperSize="9" scale="80" firstPageNumber="0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Hadassa Santos</dc:creator>
  <dcterms:created xmlns:dcterms="http://purl.org/dc/terms/" xmlns:xsi="http://www.w3.org/2001/XMLSchema-instance" xsi:type="dcterms:W3CDTF">2012-08-24T17:27:58Z</dcterms:created>
  <dcterms:modified xmlns:dcterms="http://purl.org/dc/terms/" xmlns:xsi="http://www.w3.org/2001/XMLSchema-instance" xsi:type="dcterms:W3CDTF">2026-06-07T13:50:10Z</dcterms:modified>
  <cp:lastModifiedBy>Henrique Abramant Chaves</cp:lastModifiedBy>
  <cp:lastPrinted>2025-08-22T11:44:15Z</cp:lastPrinted>
</cp:coreProperties>
</file>